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Search Location</t>
        </is>
      </c>
      <c r="F1" t="inlineStr">
        <is>
          <t>Level</t>
        </is>
      </c>
      <c r="G1" t="inlineStr">
        <is>
          <t>Posted Time</t>
        </is>
      </c>
      <c r="H1" t="inlineStr">
        <is>
          <t>Job Link</t>
        </is>
      </c>
      <c r="I1" t="inlineStr">
        <is>
          <t>Scraped At</t>
        </is>
      </c>
    </row>
    <row r="2">
      <c r="A2" t="inlineStr">
        <is>
          <t>LinkedIn</t>
        </is>
      </c>
      <c r="B2" t="inlineStr">
        <is>
          <t>Software Development Engineer (SDE)</t>
        </is>
      </c>
      <c r="C2" t="inlineStr">
        <is>
          <t>Scoutit</t>
        </is>
      </c>
      <c r="D2" t="inlineStr">
        <is>
          <t>New Delhi, Delhi, India</t>
        </is>
      </c>
      <c r="E2" t="inlineStr">
        <is>
          <t>Delhi</t>
        </is>
      </c>
      <c r="F2" t="inlineStr">
        <is>
          <t>Entry</t>
        </is>
      </c>
      <c r="G2" t="inlineStr">
        <is>
          <t>1 day ago</t>
        </is>
      </c>
      <c r="H2">
        <f>HYPERLINK("https://in.linkedin.com/jobs/view/software-development-engineer-sde-at-scoutit-4384230397", "Open Job")</f>
        <v/>
      </c>
      <c r="I2" t="inlineStr">
        <is>
          <t>2026-03-14 13:58</t>
        </is>
      </c>
    </row>
    <row r="3">
      <c r="A3" t="inlineStr">
        <is>
          <t>LinkedIn</t>
        </is>
      </c>
      <c r="B3" t="inlineStr">
        <is>
          <t>Analyst - Finance</t>
        </is>
      </c>
      <c r="C3" t="inlineStr">
        <is>
          <t>Scoutit</t>
        </is>
      </c>
      <c r="D3" t="inlineStr">
        <is>
          <t>New Delhi, Delhi, India</t>
        </is>
      </c>
      <c r="E3" t="inlineStr">
        <is>
          <t>Delhi</t>
        </is>
      </c>
      <c r="F3" t="inlineStr">
        <is>
          <t>Entry</t>
        </is>
      </c>
      <c r="G3" t="inlineStr">
        <is>
          <t>23 hours ago</t>
        </is>
      </c>
      <c r="H3">
        <f>HYPERLINK("https://in.linkedin.com/jobs/view/analyst-finance-at-scoutit-4384235436", "Open Job")</f>
        <v/>
      </c>
      <c r="I3" t="inlineStr">
        <is>
          <t>2026-03-14 13:58</t>
        </is>
      </c>
    </row>
    <row r="4">
      <c r="A4" t="inlineStr">
        <is>
          <t>LinkedIn</t>
        </is>
      </c>
      <c r="B4" t="inlineStr">
        <is>
          <t>Full-Stack Software Developer – MERN Stack (Remote)</t>
        </is>
      </c>
      <c r="C4" t="inlineStr">
        <is>
          <t>CyberOne</t>
        </is>
      </c>
      <c r="D4" t="inlineStr">
        <is>
          <t>New Delhi, Delhi, India</t>
        </is>
      </c>
      <c r="E4" t="inlineStr">
        <is>
          <t>Delhi</t>
        </is>
      </c>
      <c r="F4" t="inlineStr">
        <is>
          <t>Entry</t>
        </is>
      </c>
      <c r="G4" t="inlineStr">
        <is>
          <t>13 hours ago</t>
        </is>
      </c>
      <c r="H4">
        <f>HYPERLINK("https://in.linkedin.com/jobs/view/full-stack-software-developer-%E2%80%93-mern-stack-remote-at-cyberone-4384278074", "Open Job")</f>
        <v/>
      </c>
      <c r="I4" t="inlineStr">
        <is>
          <t>2026-03-14 13:58</t>
        </is>
      </c>
    </row>
    <row r="5">
      <c r="A5" t="inlineStr">
        <is>
          <t>LinkedIn</t>
        </is>
      </c>
      <c r="B5" t="inlineStr">
        <is>
          <t>Full Stack Engineer</t>
        </is>
      </c>
      <c r="C5" t="inlineStr">
        <is>
          <t>OMNISPERA PRIVATE LIMITED</t>
        </is>
      </c>
      <c r="D5" t="inlineStr">
        <is>
          <t>New Delhi, Delhi, India</t>
        </is>
      </c>
      <c r="E5" t="inlineStr">
        <is>
          <t>Delhi</t>
        </is>
      </c>
      <c r="F5" t="inlineStr">
        <is>
          <t>Entry</t>
        </is>
      </c>
      <c r="G5" t="inlineStr">
        <is>
          <t>19 hours ago</t>
        </is>
      </c>
      <c r="H5">
        <f>HYPERLINK("https://in.linkedin.com/jobs/view/full-stack-engineer-at-omnispera-private-limited-4384246927", "Open Job")</f>
        <v/>
      </c>
      <c r="I5" t="inlineStr">
        <is>
          <t>2026-03-14 13:58</t>
        </is>
      </c>
    </row>
    <row r="6">
      <c r="A6" t="inlineStr">
        <is>
          <t>LinkedIn</t>
        </is>
      </c>
      <c r="B6" t="inlineStr">
        <is>
          <t>Technical Support Engineer</t>
        </is>
      </c>
      <c r="C6" t="inlineStr">
        <is>
          <t>AlgoSec</t>
        </is>
      </c>
      <c r="D6" t="inlineStr">
        <is>
          <t>New Delhi, Delhi, India</t>
        </is>
      </c>
      <c r="E6" t="inlineStr">
        <is>
          <t>Delhi</t>
        </is>
      </c>
      <c r="F6" t="inlineStr">
        <is>
          <t>Entry</t>
        </is>
      </c>
      <c r="G6" t="inlineStr">
        <is>
          <t>5 hours ago</t>
        </is>
      </c>
      <c r="H6">
        <f>HYPERLINK("https://in.linkedin.com/jobs/view/technical-support-engineer-at-algosec-4385815591", "Open Job")</f>
        <v/>
      </c>
      <c r="I6" t="inlineStr">
        <is>
          <t>2026-03-14 13:58</t>
        </is>
      </c>
    </row>
    <row r="7">
      <c r="A7" t="inlineStr">
        <is>
          <t>LinkedIn</t>
        </is>
      </c>
      <c r="B7" t="inlineStr">
        <is>
          <t>Full Stack Automation Developer, India</t>
        </is>
      </c>
      <c r="C7" t="inlineStr">
        <is>
          <t>AlgoSec</t>
        </is>
      </c>
      <c r="D7" t="inlineStr">
        <is>
          <t>New Delhi, Delhi, India</t>
        </is>
      </c>
      <c r="E7" t="inlineStr">
        <is>
          <t>Delhi</t>
        </is>
      </c>
      <c r="F7" t="inlineStr">
        <is>
          <t>Entry</t>
        </is>
      </c>
      <c r="G7" t="inlineStr">
        <is>
          <t>5 hours ago</t>
        </is>
      </c>
      <c r="H7">
        <f>HYPERLINK("https://in.linkedin.com/jobs/view/full-stack-automation-developer-india-at-algosec-4385808925", "Open Job")</f>
        <v/>
      </c>
      <c r="I7" t="inlineStr">
        <is>
          <t>2026-03-14 13:58</t>
        </is>
      </c>
    </row>
    <row r="8">
      <c r="A8" t="inlineStr">
        <is>
          <t>LinkedIn</t>
        </is>
      </c>
      <c r="B8" t="inlineStr">
        <is>
          <t>Cloud Automation Developer, India</t>
        </is>
      </c>
      <c r="C8" t="inlineStr">
        <is>
          <t>AlgoSec</t>
        </is>
      </c>
      <c r="D8" t="inlineStr">
        <is>
          <t>New Delhi, Delhi, India</t>
        </is>
      </c>
      <c r="E8" t="inlineStr">
        <is>
          <t>Delhi</t>
        </is>
      </c>
      <c r="F8" t="inlineStr">
        <is>
          <t>Entry</t>
        </is>
      </c>
      <c r="G8" t="inlineStr">
        <is>
          <t>5 hours ago</t>
        </is>
      </c>
      <c r="H8">
        <f>HYPERLINK("https://in.linkedin.com/jobs/view/cloud-automation-developer-india-at-algosec-4385818440", "Open Job")</f>
        <v/>
      </c>
      <c r="I8" t="inlineStr">
        <is>
          <t>2026-03-14 13:58</t>
        </is>
      </c>
    </row>
    <row r="9">
      <c r="A9" t="inlineStr">
        <is>
          <t>LinkedIn</t>
        </is>
      </c>
      <c r="B9" t="inlineStr">
        <is>
          <t>Junior Architect</t>
        </is>
      </c>
      <c r="C9" t="inlineStr">
        <is>
          <t>inspatia</t>
        </is>
      </c>
      <c r="D9" t="inlineStr">
        <is>
          <t>Delhi, India</t>
        </is>
      </c>
      <c r="E9" t="inlineStr">
        <is>
          <t>Delhi</t>
        </is>
      </c>
      <c r="F9" t="inlineStr">
        <is>
          <t>Entry</t>
        </is>
      </c>
      <c r="G9" t="inlineStr">
        <is>
          <t>21 hours ago</t>
        </is>
      </c>
      <c r="H9">
        <f>HYPERLINK("https://in.linkedin.com/jobs/view/junior-architect-at-inspatia-4384248108", "Open Job")</f>
        <v/>
      </c>
      <c r="I9" t="inlineStr">
        <is>
          <t>2026-03-14 13:58</t>
        </is>
      </c>
    </row>
    <row r="10">
      <c r="A10" t="inlineStr">
        <is>
          <t>LinkedIn</t>
        </is>
      </c>
      <c r="B10" t="inlineStr">
        <is>
          <t>Quantity Surveyor -(Civil)</t>
        </is>
      </c>
      <c r="C10" t="inlineStr">
        <is>
          <t>STHAPATI</t>
        </is>
      </c>
      <c r="D10" t="inlineStr">
        <is>
          <t>New Delhi, Delhi, India</t>
        </is>
      </c>
      <c r="E10" t="inlineStr">
        <is>
          <t>Delhi</t>
        </is>
      </c>
      <c r="F10" t="inlineStr">
        <is>
          <t>Entry</t>
        </is>
      </c>
      <c r="G10" t="inlineStr">
        <is>
          <t>17 hours ago</t>
        </is>
      </c>
      <c r="H10">
        <f>HYPERLINK("https://in.linkedin.com/jobs/view/quantity-surveyor-civil-at-sthapati-4384265378", "Open Job")</f>
        <v/>
      </c>
      <c r="I10" t="inlineStr">
        <is>
          <t>2026-03-14 13:58</t>
        </is>
      </c>
    </row>
    <row r="11">
      <c r="A11" t="inlineStr">
        <is>
          <t>LinkedIn</t>
        </is>
      </c>
      <c r="B11" t="inlineStr">
        <is>
          <t>Video Editor</t>
        </is>
      </c>
      <c r="C11" t="inlineStr">
        <is>
          <t>Marktini Media</t>
        </is>
      </c>
      <c r="D11" t="inlineStr">
        <is>
          <t>New Delhi, Delhi, India</t>
        </is>
      </c>
      <c r="E11" t="inlineStr">
        <is>
          <t>Delhi</t>
        </is>
      </c>
      <c r="F11" t="inlineStr">
        <is>
          <t>Entry</t>
        </is>
      </c>
      <c r="G11" t="inlineStr">
        <is>
          <t>1 day ago</t>
        </is>
      </c>
      <c r="H11">
        <f>HYPERLINK("https://in.linkedin.com/jobs/view/video-editor-at-marktini-media-4384222809", "Open Job")</f>
        <v/>
      </c>
      <c r="I11" t="inlineStr">
        <is>
          <t>2026-03-14 13:58</t>
        </is>
      </c>
    </row>
    <row r="12">
      <c r="A12" t="inlineStr">
        <is>
          <t>LinkedIn</t>
        </is>
      </c>
      <c r="B12" t="inlineStr">
        <is>
          <t>Inside Sales Executive</t>
        </is>
      </c>
      <c r="C12" t="inlineStr">
        <is>
          <t>Dentalkart</t>
        </is>
      </c>
      <c r="D12" t="inlineStr">
        <is>
          <t>Saket, Delhi, India</t>
        </is>
      </c>
      <c r="E12" t="inlineStr">
        <is>
          <t>Delhi</t>
        </is>
      </c>
      <c r="F12" t="inlineStr">
        <is>
          <t>Entry</t>
        </is>
      </c>
      <c r="G12" t="inlineStr">
        <is>
          <t>1 hour ago</t>
        </is>
      </c>
      <c r="H12">
        <f>HYPERLINK("https://in.linkedin.com/jobs/view/inside-sales-executive-at-dentalkart-4373564787", "Open Job")</f>
        <v/>
      </c>
      <c r="I12" t="inlineStr">
        <is>
          <t>2026-03-14 13:58</t>
        </is>
      </c>
    </row>
    <row r="13">
      <c r="A13" t="inlineStr">
        <is>
          <t>LinkedIn</t>
        </is>
      </c>
      <c r="B13" t="inlineStr">
        <is>
          <t>Graphic Designer</t>
        </is>
      </c>
      <c r="C13" t="inlineStr">
        <is>
          <t>Code to Couture</t>
        </is>
      </c>
      <c r="D13" t="inlineStr">
        <is>
          <t>South Delhi, Delhi, India</t>
        </is>
      </c>
      <c r="E13" t="inlineStr">
        <is>
          <t>Delhi</t>
        </is>
      </c>
      <c r="F13" t="inlineStr">
        <is>
          <t>Entry</t>
        </is>
      </c>
      <c r="G13" t="inlineStr">
        <is>
          <t>1 hour ago</t>
        </is>
      </c>
      <c r="H13">
        <f>HYPERLINK("https://in.linkedin.com/jobs/view/graphic-designer-at-code-to-couture-4384641636", "Open Job")</f>
        <v/>
      </c>
      <c r="I13" t="inlineStr">
        <is>
          <t>2026-03-14 13:58</t>
        </is>
      </c>
    </row>
    <row r="14">
      <c r="A14" t="inlineStr">
        <is>
          <t>LinkedIn</t>
        </is>
      </c>
      <c r="B14" t="inlineStr">
        <is>
          <t>Account Executive</t>
        </is>
      </c>
      <c r="C14" t="inlineStr">
        <is>
          <t>JLL</t>
        </is>
      </c>
      <c r="D14" t="inlineStr">
        <is>
          <t>New Delhi, Delhi, India</t>
        </is>
      </c>
      <c r="E14" t="inlineStr">
        <is>
          <t>Delhi</t>
        </is>
      </c>
      <c r="F14" t="inlineStr">
        <is>
          <t>Entry</t>
        </is>
      </c>
      <c r="G14" t="inlineStr">
        <is>
          <t>18 hours ago</t>
        </is>
      </c>
      <c r="H14">
        <f>HYPERLINK("https://in.linkedin.com/jobs/view/account-executive-at-jll-4385345875", "Open Job")</f>
        <v/>
      </c>
      <c r="I14" t="inlineStr">
        <is>
          <t>2026-03-14 13:58</t>
        </is>
      </c>
    </row>
    <row r="15">
      <c r="A15" t="inlineStr">
        <is>
          <t>LinkedIn</t>
        </is>
      </c>
      <c r="B15" t="inlineStr">
        <is>
          <t>Business Development Manager</t>
        </is>
      </c>
      <c r="C15" t="inlineStr">
        <is>
          <t>CAREERBLOC ~</t>
        </is>
      </c>
      <c r="D15" t="inlineStr">
        <is>
          <t>Delhi, India</t>
        </is>
      </c>
      <c r="E15" t="inlineStr">
        <is>
          <t>Delhi</t>
        </is>
      </c>
      <c r="F15" t="inlineStr">
        <is>
          <t>Entry</t>
        </is>
      </c>
      <c r="G15" t="inlineStr">
        <is>
          <t>20 hours ago</t>
        </is>
      </c>
      <c r="H15">
        <f>HYPERLINK("https://in.linkedin.com/jobs/view/business-development-manager-at-careerbloc-%7E-4383076824", "Open Job")</f>
        <v/>
      </c>
      <c r="I15" t="inlineStr">
        <is>
          <t>2026-03-14 13:58</t>
        </is>
      </c>
    </row>
    <row r="16">
      <c r="A16" t="inlineStr">
        <is>
          <t>LinkedIn</t>
        </is>
      </c>
      <c r="B16" t="inlineStr">
        <is>
          <t>youtube automation video editing</t>
        </is>
      </c>
      <c r="C16" t="inlineStr">
        <is>
          <t>Youtube Automation Service</t>
        </is>
      </c>
      <c r="D16" t="inlineStr">
        <is>
          <t>Delhi, India</t>
        </is>
      </c>
      <c r="E16" t="inlineStr">
        <is>
          <t>Delhi</t>
        </is>
      </c>
      <c r="F16" t="inlineStr">
        <is>
          <t>Entry</t>
        </is>
      </c>
      <c r="G16" t="inlineStr">
        <is>
          <t>15 hours ago</t>
        </is>
      </c>
      <c r="H16">
        <f>HYPERLINK("https://in.linkedin.com/jobs/view/youtube-automation-video-editing-at-youtube-automation-service-4383137880", "Open Job")</f>
        <v/>
      </c>
      <c r="I16" t="inlineStr">
        <is>
          <t>2026-03-14 13:58</t>
        </is>
      </c>
    </row>
    <row r="17">
      <c r="A17" t="inlineStr">
        <is>
          <t>LinkedIn</t>
        </is>
      </c>
      <c r="B17" t="inlineStr">
        <is>
          <t>Sales Fresher</t>
        </is>
      </c>
      <c r="C17" t="inlineStr">
        <is>
          <t>Propkarmaa Private Limited</t>
        </is>
      </c>
      <c r="D17" t="inlineStr">
        <is>
          <t>New Delhi, Delhi, India</t>
        </is>
      </c>
      <c r="E17" t="inlineStr">
        <is>
          <t>Delhi</t>
        </is>
      </c>
      <c r="F17" t="inlineStr">
        <is>
          <t>Entry</t>
        </is>
      </c>
      <c r="G17" t="inlineStr">
        <is>
          <t>1 day ago</t>
        </is>
      </c>
      <c r="H17">
        <f>HYPERLINK("https://in.linkedin.com/jobs/view/sales-fresher-at-propkarmaa-private-limited-4384229404", "Open Job")</f>
        <v/>
      </c>
      <c r="I17" t="inlineStr">
        <is>
          <t>2026-03-14 13:58</t>
        </is>
      </c>
    </row>
    <row r="18">
      <c r="A18" t="inlineStr">
        <is>
          <t>LinkedIn</t>
        </is>
      </c>
      <c r="B18" t="inlineStr">
        <is>
          <t>Technical Sales Manager</t>
        </is>
      </c>
      <c r="C18" t="inlineStr">
        <is>
          <t>Comcon Technologies Limited</t>
        </is>
      </c>
      <c r="D18" t="inlineStr">
        <is>
          <t>New Delhi, Delhi, India</t>
        </is>
      </c>
      <c r="E18" t="inlineStr">
        <is>
          <t>Delhi</t>
        </is>
      </c>
      <c r="F18" t="inlineStr">
        <is>
          <t>Entry</t>
        </is>
      </c>
      <c r="G18" t="inlineStr">
        <is>
          <t>20 hours ago</t>
        </is>
      </c>
      <c r="H18">
        <f>HYPERLINK("https://in.linkedin.com/jobs/view/technical-sales-manager-at-comcon-technologies-limited-4384249400", "Open Job")</f>
        <v/>
      </c>
      <c r="I18" t="inlineStr">
        <is>
          <t>2026-03-14 13:58</t>
        </is>
      </c>
    </row>
    <row r="19">
      <c r="A19" t="inlineStr">
        <is>
          <t>LinkedIn</t>
        </is>
      </c>
      <c r="B19" t="inlineStr">
        <is>
          <t>Motion Graphic Designer</t>
        </is>
      </c>
      <c r="C19" t="inlineStr">
        <is>
          <t>DigiMarquee</t>
        </is>
      </c>
      <c r="D19" t="inlineStr">
        <is>
          <t>West Delhi, Delhi, India</t>
        </is>
      </c>
      <c r="E19" t="inlineStr">
        <is>
          <t>Delhi</t>
        </is>
      </c>
      <c r="F19" t="inlineStr">
        <is>
          <t>Entry</t>
        </is>
      </c>
      <c r="G19" t="inlineStr">
        <is>
          <t>18 hours ago</t>
        </is>
      </c>
      <c r="H19">
        <f>HYPERLINK("https://in.linkedin.com/jobs/view/motion-graphic-designer-at-digimarquee-4383115243", "Open Job")</f>
        <v/>
      </c>
      <c r="I19" t="inlineStr">
        <is>
          <t>2026-03-14 13:58</t>
        </is>
      </c>
    </row>
    <row r="20">
      <c r="A20" t="inlineStr">
        <is>
          <t>LinkedIn</t>
        </is>
      </c>
      <c r="B20" t="inlineStr">
        <is>
          <t>Graphic Designer</t>
        </is>
      </c>
      <c r="C20" t="inlineStr">
        <is>
          <t>Future X Marketing</t>
        </is>
      </c>
      <c r="D20" t="inlineStr">
        <is>
          <t>New Delhi, Delhi, India</t>
        </is>
      </c>
      <c r="E20" t="inlineStr">
        <is>
          <t>Delhi</t>
        </is>
      </c>
      <c r="F20" t="inlineStr">
        <is>
          <t>Entry</t>
        </is>
      </c>
      <c r="G20" t="inlineStr">
        <is>
          <t>14 hours ago</t>
        </is>
      </c>
      <c r="H20">
        <f>HYPERLINK("https://in.linkedin.com/jobs/view/graphic-designer-at-future-x-marketing-4383153413", "Open Job")</f>
        <v/>
      </c>
      <c r="I20" t="inlineStr">
        <is>
          <t>2026-03-14 13:58</t>
        </is>
      </c>
    </row>
    <row r="21">
      <c r="A21" t="inlineStr">
        <is>
          <t>LinkedIn</t>
        </is>
      </c>
      <c r="B21" t="inlineStr">
        <is>
          <t>Interior Designer</t>
        </is>
      </c>
      <c r="C21" t="inlineStr">
        <is>
          <t>Serein Spaces</t>
        </is>
      </c>
      <c r="D21" t="inlineStr">
        <is>
          <t>Delhi, India</t>
        </is>
      </c>
      <c r="E21" t="inlineStr">
        <is>
          <t>Delhi</t>
        </is>
      </c>
      <c r="F21" t="inlineStr">
        <is>
          <t>Entry</t>
        </is>
      </c>
      <c r="G21" t="inlineStr">
        <is>
          <t>23 hours ago</t>
        </is>
      </c>
      <c r="H21">
        <f>HYPERLINK("https://in.linkedin.com/jobs/view/interior-designer-at-serein-spaces-4384238256", "Open Job")</f>
        <v/>
      </c>
      <c r="I21" t="inlineStr">
        <is>
          <t>2026-03-14 13:58</t>
        </is>
      </c>
    </row>
    <row r="22">
      <c r="A22" t="inlineStr">
        <is>
          <t>LinkedIn</t>
        </is>
      </c>
      <c r="B22" t="inlineStr">
        <is>
          <t>Technical Manager</t>
        </is>
      </c>
      <c r="C22" t="inlineStr">
        <is>
          <t>JLL</t>
        </is>
      </c>
      <c r="D22" t="inlineStr">
        <is>
          <t>New Delhi, Delhi, India</t>
        </is>
      </c>
      <c r="E22" t="inlineStr">
        <is>
          <t>Delhi</t>
        </is>
      </c>
      <c r="F22" t="inlineStr">
        <is>
          <t>Associate</t>
        </is>
      </c>
      <c r="G22" t="inlineStr">
        <is>
          <t>17 hours ago</t>
        </is>
      </c>
      <c r="H22">
        <f>HYPERLINK("https://in.linkedin.com/jobs/view/technical-manager-at-jll-4385378280", "Open Job")</f>
        <v/>
      </c>
      <c r="I22" t="inlineStr">
        <is>
          <t>2026-03-14 13:58</t>
        </is>
      </c>
    </row>
    <row r="23">
      <c r="A23" t="inlineStr">
        <is>
          <t>LinkedIn</t>
        </is>
      </c>
      <c r="B23" t="inlineStr">
        <is>
          <t>Software Developer, India</t>
        </is>
      </c>
      <c r="C23" t="inlineStr">
        <is>
          <t>AlgoSec</t>
        </is>
      </c>
      <c r="D23" t="inlineStr">
        <is>
          <t>New Delhi, Delhi, India</t>
        </is>
      </c>
      <c r="E23" t="inlineStr">
        <is>
          <t>Delhi</t>
        </is>
      </c>
      <c r="F23" t="inlineStr">
        <is>
          <t>Mid</t>
        </is>
      </c>
      <c r="G23" t="inlineStr">
        <is>
          <t>5 hours ago</t>
        </is>
      </c>
      <c r="H23">
        <f>HYPERLINK("https://in.linkedin.com/jobs/view/software-developer-india-at-algosec-4385817496", "Open Job")</f>
        <v/>
      </c>
      <c r="I23" t="inlineStr">
        <is>
          <t>2026-03-14 13:58</t>
        </is>
      </c>
    </row>
    <row r="24">
      <c r="A24" t="inlineStr">
        <is>
          <t>LinkedIn</t>
        </is>
      </c>
      <c r="B24" t="inlineStr">
        <is>
          <t>Solutions Engineer</t>
        </is>
      </c>
      <c r="C24" t="inlineStr">
        <is>
          <t>Cisco</t>
        </is>
      </c>
      <c r="D24" t="inlineStr">
        <is>
          <t>Delhi, India</t>
        </is>
      </c>
      <c r="E24" t="inlineStr">
        <is>
          <t>Delhi</t>
        </is>
      </c>
      <c r="F24" t="inlineStr">
        <is>
          <t>Mid</t>
        </is>
      </c>
      <c r="G24" t="inlineStr">
        <is>
          <t>13 hours ago</t>
        </is>
      </c>
      <c r="H24">
        <f>HYPERLINK("https://in.linkedin.com/jobs/view/solutions-engineer-at-cisco-4375663040", "Open Job")</f>
        <v/>
      </c>
      <c r="I24" t="inlineStr">
        <is>
          <t>2026-03-14 13:58</t>
        </is>
      </c>
    </row>
    <row r="25">
      <c r="A25" t="inlineStr">
        <is>
          <t>LinkedIn</t>
        </is>
      </c>
      <c r="B25" t="inlineStr">
        <is>
          <t>Project Delivery &amp; Support Engineer</t>
        </is>
      </c>
      <c r="C25" t="inlineStr">
        <is>
          <t>Ateme</t>
        </is>
      </c>
      <c r="D25" t="inlineStr">
        <is>
          <t>New Delhi, Delhi, India</t>
        </is>
      </c>
      <c r="E25" t="inlineStr">
        <is>
          <t>Delhi</t>
        </is>
      </c>
      <c r="F25" t="inlineStr">
        <is>
          <t>Mid</t>
        </is>
      </c>
      <c r="G25" t="inlineStr">
        <is>
          <t>18 hours ago</t>
        </is>
      </c>
      <c r="H25">
        <f>HYPERLINK("https://in.linkedin.com/jobs/view/project-delivery-support-engineer-at-ateme-4363640000", "Open Job")</f>
        <v/>
      </c>
      <c r="I25" t="inlineStr">
        <is>
          <t>2026-03-14 13:58</t>
        </is>
      </c>
    </row>
    <row r="26">
      <c r="A26" t="inlineStr">
        <is>
          <t>LinkedIn</t>
        </is>
      </c>
      <c r="B26" t="inlineStr">
        <is>
          <t>Automation TL, India</t>
        </is>
      </c>
      <c r="C26" t="inlineStr">
        <is>
          <t>AlgoSec</t>
        </is>
      </c>
      <c r="D26" t="inlineStr">
        <is>
          <t>New Delhi, Delhi, India</t>
        </is>
      </c>
      <c r="E26" t="inlineStr">
        <is>
          <t>Delhi</t>
        </is>
      </c>
      <c r="F26" t="inlineStr">
        <is>
          <t>Mid</t>
        </is>
      </c>
      <c r="G26" t="inlineStr">
        <is>
          <t>5 hours ago</t>
        </is>
      </c>
      <c r="H26">
        <f>HYPERLINK("https://in.linkedin.com/jobs/view/automation-tl-india-at-algosec-4385807927", "Open Job")</f>
        <v/>
      </c>
      <c r="I26" t="inlineStr">
        <is>
          <t>2026-03-14 13:58</t>
        </is>
      </c>
    </row>
    <row r="27">
      <c r="A27" t="inlineStr">
        <is>
          <t>LinkedIn</t>
        </is>
      </c>
      <c r="B27" t="inlineStr">
        <is>
          <t>Analyst - Business Consulting Risk - CHS - CNS - Risk - Digital Risk - New Delhi</t>
        </is>
      </c>
      <c r="C27" t="inlineStr">
        <is>
          <t>EY</t>
        </is>
      </c>
      <c r="D27" t="inlineStr">
        <is>
          <t>Delhi, India</t>
        </is>
      </c>
      <c r="E27" t="inlineStr">
        <is>
          <t>Delhi</t>
        </is>
      </c>
      <c r="F27" t="inlineStr">
        <is>
          <t>Mid</t>
        </is>
      </c>
      <c r="G27" t="inlineStr">
        <is>
          <t>16 hours ago</t>
        </is>
      </c>
      <c r="H27">
        <f>HYPERLINK("https://in.linkedin.com/jobs/view/analyst-business-consulting-risk-chs-cns-risk-digital-risk-new-delhi-at-ey-4367142125", "Open Job")</f>
        <v/>
      </c>
      <c r="I27" t="inlineStr">
        <is>
          <t>2026-03-14 13:58</t>
        </is>
      </c>
    </row>
    <row r="28">
      <c r="A28" t="inlineStr">
        <is>
          <t>LinkedIn</t>
        </is>
      </c>
      <c r="B28" t="inlineStr">
        <is>
          <t>Associate Manager – People and Culture</t>
        </is>
      </c>
      <c r="C28" t="inlineStr">
        <is>
          <t>CSRBOX®</t>
        </is>
      </c>
      <c r="D28" t="inlineStr">
        <is>
          <t>Preet Vihar, Delhi, India</t>
        </is>
      </c>
      <c r="E28" t="inlineStr">
        <is>
          <t>Delhi</t>
        </is>
      </c>
      <c r="F28" t="inlineStr">
        <is>
          <t>Mid</t>
        </is>
      </c>
      <c r="G28" t="inlineStr">
        <is>
          <t>16 hours ago</t>
        </is>
      </c>
      <c r="H28">
        <f>HYPERLINK("https://in.linkedin.com/jobs/view/associate-manager-%E2%80%93-people-and-culture-at-csrbox%C2%AE-4385376574", "Open Job")</f>
        <v/>
      </c>
      <c r="I28" t="inlineStr">
        <is>
          <t>2026-03-14 13:58</t>
        </is>
      </c>
    </row>
    <row r="29">
      <c r="A29" t="inlineStr">
        <is>
          <t>LinkedIn</t>
        </is>
      </c>
      <c r="B29" t="inlineStr">
        <is>
          <t>Software Developer - Backend(Remote)</t>
        </is>
      </c>
      <c r="C29" t="inlineStr">
        <is>
          <t>Uplers</t>
        </is>
      </c>
      <c r="D29" t="inlineStr">
        <is>
          <t>New Delhi, Delhi, India</t>
        </is>
      </c>
      <c r="E29" t="inlineStr">
        <is>
          <t>Delhi</t>
        </is>
      </c>
      <c r="F29" t="inlineStr">
        <is>
          <t>Mid</t>
        </is>
      </c>
      <c r="G29" t="inlineStr">
        <is>
          <t>19 hours ago</t>
        </is>
      </c>
      <c r="H29">
        <f>HYPERLINK("https://in.linkedin.com/jobs/view/software-developer-backend-remote-at-uplers-4305118045", "Open Job")</f>
        <v/>
      </c>
      <c r="I29" t="inlineStr">
        <is>
          <t>2026-03-14 13:58</t>
        </is>
      </c>
    </row>
    <row r="30">
      <c r="A30" t="inlineStr">
        <is>
          <t>LinkedIn</t>
        </is>
      </c>
      <c r="B30" t="inlineStr">
        <is>
          <t>Professional Services Engineer, India</t>
        </is>
      </c>
      <c r="C30" t="inlineStr">
        <is>
          <t>AlgoSec</t>
        </is>
      </c>
      <c r="D30" t="inlineStr">
        <is>
          <t>New Delhi, Delhi, India</t>
        </is>
      </c>
      <c r="E30" t="inlineStr">
        <is>
          <t>Delhi</t>
        </is>
      </c>
      <c r="F30" t="inlineStr">
        <is>
          <t>Mid</t>
        </is>
      </c>
      <c r="G30" t="inlineStr">
        <is>
          <t>5 hours ago</t>
        </is>
      </c>
      <c r="H30">
        <f>HYPERLINK("https://in.linkedin.com/jobs/view/professional-services-engineer-india-at-algosec-4385828028", "Open Job")</f>
        <v/>
      </c>
      <c r="I30" t="inlineStr">
        <is>
          <t>2026-03-14 13:58</t>
        </is>
      </c>
    </row>
    <row r="31">
      <c r="A31" t="inlineStr">
        <is>
          <t>LinkedIn</t>
        </is>
      </c>
      <c r="B31" t="inlineStr">
        <is>
          <t>Analyst - Business Consulting Risk - GOV - CNS - Risk - Risk Management - New Delhi</t>
        </is>
      </c>
      <c r="C31" t="inlineStr">
        <is>
          <t>EY</t>
        </is>
      </c>
      <c r="D31" t="inlineStr">
        <is>
          <t>Delhi, India</t>
        </is>
      </c>
      <c r="E31" t="inlineStr">
        <is>
          <t>Delhi</t>
        </is>
      </c>
      <c r="F31" t="inlineStr">
        <is>
          <t>Mid</t>
        </is>
      </c>
      <c r="G31" t="inlineStr">
        <is>
          <t>13 hours ago</t>
        </is>
      </c>
      <c r="H31">
        <f>HYPERLINK("https://in.linkedin.com/jobs/view/analyst-business-consulting-risk-gov-cns-risk-risk-management-new-delhi-at-ey-4384270527", "Open Job")</f>
        <v/>
      </c>
      <c r="I31" t="inlineStr">
        <is>
          <t>2026-03-14 13:58</t>
        </is>
      </c>
    </row>
    <row r="32">
      <c r="A32" t="inlineStr">
        <is>
          <t>LinkedIn</t>
        </is>
      </c>
      <c r="B32" t="inlineStr">
        <is>
          <t>Project Manager</t>
        </is>
      </c>
      <c r="C32" t="inlineStr">
        <is>
          <t>Urbane - The Design Workshop</t>
        </is>
      </c>
      <c r="D32" t="inlineStr">
        <is>
          <t>South Delhi, Delhi, India</t>
        </is>
      </c>
      <c r="E32" t="inlineStr">
        <is>
          <t>Delhi</t>
        </is>
      </c>
      <c r="F32" t="inlineStr">
        <is>
          <t>Mid</t>
        </is>
      </c>
      <c r="G32" t="inlineStr">
        <is>
          <t>1 hour ago</t>
        </is>
      </c>
      <c r="H32">
        <f>HYPERLINK("https://in.linkedin.com/jobs/view/project-manager-at-urbane-the-design-workshop-4384634872", "Open Job")</f>
        <v/>
      </c>
      <c r="I32" t="inlineStr">
        <is>
          <t>2026-03-14 13:58</t>
        </is>
      </c>
    </row>
    <row r="33">
      <c r="A33" t="inlineStr">
        <is>
          <t>LinkedIn</t>
        </is>
      </c>
      <c r="B33" t="inlineStr">
        <is>
          <t>CloudFlow Automation Developer, India</t>
        </is>
      </c>
      <c r="C33" t="inlineStr">
        <is>
          <t>AlgoSec</t>
        </is>
      </c>
      <c r="D33" t="inlineStr">
        <is>
          <t>New Delhi, Delhi, India</t>
        </is>
      </c>
      <c r="E33" t="inlineStr">
        <is>
          <t>Delhi</t>
        </is>
      </c>
      <c r="F33" t="inlineStr">
        <is>
          <t>Mid</t>
        </is>
      </c>
      <c r="G33" t="inlineStr">
        <is>
          <t>5 hours ago</t>
        </is>
      </c>
      <c r="H33">
        <f>HYPERLINK("https://in.linkedin.com/jobs/view/cloudflow-automation-developer-india-at-algosec-4385809952", "Open Job")</f>
        <v/>
      </c>
      <c r="I33" t="inlineStr">
        <is>
          <t>2026-03-14 13:58</t>
        </is>
      </c>
    </row>
    <row r="34">
      <c r="A34" t="inlineStr">
        <is>
          <t>LinkedIn</t>
        </is>
      </c>
      <c r="B34" t="inlineStr">
        <is>
          <t>Consultant - Business Consulting Risk - AMI - CNS - Risk - Process &amp; Controls - New Delhi</t>
        </is>
      </c>
      <c r="C34" t="inlineStr">
        <is>
          <t>EY</t>
        </is>
      </c>
      <c r="D34" t="inlineStr">
        <is>
          <t>Delhi, India</t>
        </is>
      </c>
      <c r="E34" t="inlineStr">
        <is>
          <t>Delhi</t>
        </is>
      </c>
      <c r="F34" t="inlineStr">
        <is>
          <t>Mid</t>
        </is>
      </c>
      <c r="G34" t="inlineStr">
        <is>
          <t>16 hours ago</t>
        </is>
      </c>
      <c r="H34">
        <f>HYPERLINK("https://in.linkedin.com/jobs/view/consultant-business-consulting-risk-ami-cns-risk-process-controls-new-delhi-at-ey-4352004974", "Open Job")</f>
        <v/>
      </c>
      <c r="I34" t="inlineStr">
        <is>
          <t>2026-03-14 13:58</t>
        </is>
      </c>
    </row>
    <row r="35">
      <c r="A35" t="inlineStr">
        <is>
          <t>LinkedIn</t>
        </is>
      </c>
      <c r="B35" t="inlineStr">
        <is>
          <t>AlgoNext Automation Developer, India</t>
        </is>
      </c>
      <c r="C35" t="inlineStr">
        <is>
          <t>AlgoSec</t>
        </is>
      </c>
      <c r="D35" t="inlineStr">
        <is>
          <t>New Delhi, Delhi, India</t>
        </is>
      </c>
      <c r="E35" t="inlineStr">
        <is>
          <t>Delhi</t>
        </is>
      </c>
      <c r="F35" t="inlineStr">
        <is>
          <t>Mid</t>
        </is>
      </c>
      <c r="G35" t="inlineStr">
        <is>
          <t>5 hours ago</t>
        </is>
      </c>
      <c r="H35">
        <f>HYPERLINK("https://in.linkedin.com/jobs/view/algonext-automation-developer-india-at-algosec-4385809951", "Open Job")</f>
        <v/>
      </c>
      <c r="I35" t="inlineStr">
        <is>
          <t>2026-03-14 13:58</t>
        </is>
      </c>
    </row>
    <row r="36">
      <c r="A36" t="inlineStr">
        <is>
          <t>LinkedIn</t>
        </is>
      </c>
      <c r="B36" t="inlineStr">
        <is>
          <t>Senior Analyst - Business Consulting Risk - AMI - CNS - Risk - Process &amp; Controls - New Delhi</t>
        </is>
      </c>
      <c r="C36" t="inlineStr">
        <is>
          <t>EY</t>
        </is>
      </c>
      <c r="D36" t="inlineStr">
        <is>
          <t>Delhi, India</t>
        </is>
      </c>
      <c r="E36" t="inlineStr">
        <is>
          <t>Delhi</t>
        </is>
      </c>
      <c r="F36" t="inlineStr">
        <is>
          <t>Mid</t>
        </is>
      </c>
      <c r="G36" t="inlineStr">
        <is>
          <t>16 hours ago</t>
        </is>
      </c>
      <c r="H36">
        <f>HYPERLINK("https://in.linkedin.com/jobs/view/senior-analyst-business-consulting-risk-ami-cns-risk-process-controls-new-delhi-at-ey-4331940988", "Open Job")</f>
        <v/>
      </c>
      <c r="I36" t="inlineStr">
        <is>
          <t>2026-03-14 13:58</t>
        </is>
      </c>
    </row>
    <row r="37">
      <c r="A37" t="inlineStr">
        <is>
          <t>LinkedIn</t>
        </is>
      </c>
      <c r="B37" t="inlineStr">
        <is>
          <t>Senior Analyst - Business Consulting Risk - AMI - CNS - Risk - Process &amp; Controls - New Delhi</t>
        </is>
      </c>
      <c r="C37" t="inlineStr">
        <is>
          <t>EY</t>
        </is>
      </c>
      <c r="D37" t="inlineStr">
        <is>
          <t>Delhi, India</t>
        </is>
      </c>
      <c r="E37" t="inlineStr">
        <is>
          <t>Delhi</t>
        </is>
      </c>
      <c r="F37" t="inlineStr">
        <is>
          <t>Mid</t>
        </is>
      </c>
      <c r="G37" t="inlineStr">
        <is>
          <t>16 hours ago</t>
        </is>
      </c>
      <c r="H37">
        <f>HYPERLINK("https://in.linkedin.com/jobs/view/senior-analyst-business-consulting-risk-ami-cns-risk-process-controls-new-delhi-at-ey-4331960943", "Open Job")</f>
        <v/>
      </c>
      <c r="I37" t="inlineStr">
        <is>
          <t>2026-03-14 13:58</t>
        </is>
      </c>
    </row>
    <row r="38">
      <c r="A38" t="inlineStr">
        <is>
          <t>LinkedIn</t>
        </is>
      </c>
      <c r="B38" t="inlineStr">
        <is>
          <t>Consultant - TAX - National - TAX - GCR - Global Compliance &amp; Reporting - New Delhi</t>
        </is>
      </c>
      <c r="C38" t="inlineStr">
        <is>
          <t>EY</t>
        </is>
      </c>
      <c r="D38" t="inlineStr">
        <is>
          <t>Delhi, India</t>
        </is>
      </c>
      <c r="E38" t="inlineStr">
        <is>
          <t>Delhi</t>
        </is>
      </c>
      <c r="F38" t="inlineStr">
        <is>
          <t>Mid</t>
        </is>
      </c>
      <c r="G38" t="inlineStr">
        <is>
          <t>17 hours ago</t>
        </is>
      </c>
      <c r="H38">
        <f>HYPERLINK("https://in.linkedin.com/jobs/view/consultant-tax-national-tax-gcr-global-compliance-reporting-new-delhi-at-ey-4373117631", "Open Job")</f>
        <v/>
      </c>
      <c r="I38" t="inlineStr">
        <is>
          <t>2026-03-14 13:58</t>
        </is>
      </c>
    </row>
    <row r="39">
      <c r="A39" t="inlineStr">
        <is>
          <t>LinkedIn</t>
        </is>
      </c>
      <c r="B39" t="inlineStr">
        <is>
          <t>AlgoSec Resident Engineer, India</t>
        </is>
      </c>
      <c r="C39" t="inlineStr">
        <is>
          <t>AlgoSec</t>
        </is>
      </c>
      <c r="D39" t="inlineStr">
        <is>
          <t>New Delhi, Delhi, India</t>
        </is>
      </c>
      <c r="E39" t="inlineStr">
        <is>
          <t>Delhi</t>
        </is>
      </c>
      <c r="F39" t="inlineStr">
        <is>
          <t>Mid</t>
        </is>
      </c>
      <c r="G39" t="inlineStr">
        <is>
          <t>5 hours ago</t>
        </is>
      </c>
      <c r="H39">
        <f>HYPERLINK("https://in.linkedin.com/jobs/view/algosec-resident-engineer-india-at-algosec-4385809950", "Open Job")</f>
        <v/>
      </c>
      <c r="I39" t="inlineStr">
        <is>
          <t>2026-03-14 13:58</t>
        </is>
      </c>
    </row>
    <row r="40">
      <c r="A40" t="inlineStr">
        <is>
          <t>LinkedIn</t>
        </is>
      </c>
      <c r="B40" t="inlineStr">
        <is>
          <t>Associate Consultant - Business Consulting Risk - AMI - CNS - Risk - Process &amp; Controls - New Delhi</t>
        </is>
      </c>
      <c r="C40" t="inlineStr">
        <is>
          <t>EY</t>
        </is>
      </c>
      <c r="D40" t="inlineStr">
        <is>
          <t>Delhi, India</t>
        </is>
      </c>
      <c r="E40" t="inlineStr">
        <is>
          <t>Delhi</t>
        </is>
      </c>
      <c r="F40" t="inlineStr">
        <is>
          <t>Mid</t>
        </is>
      </c>
      <c r="G40" t="inlineStr">
        <is>
          <t>17 hours ago</t>
        </is>
      </c>
      <c r="H40">
        <f>HYPERLINK("https://in.linkedin.com/jobs/view/associate-consultant-business-consulting-risk-ami-cns-risk-process-controls-new-delhi-at-ey-4332202611", "Open Job")</f>
        <v/>
      </c>
      <c r="I40" t="inlineStr">
        <is>
          <t>2026-03-14 13:58</t>
        </is>
      </c>
    </row>
    <row r="41">
      <c r="A41" t="inlineStr">
        <is>
          <t>LinkedIn</t>
        </is>
      </c>
      <c r="B41" t="inlineStr">
        <is>
          <t>Packaging Designer/ Graphic Designer</t>
        </is>
      </c>
      <c r="C41" t="inlineStr">
        <is>
          <t>Prakhar Software Solutions Ltd.</t>
        </is>
      </c>
      <c r="D41" t="inlineStr">
        <is>
          <t>New Delhi, Delhi, India</t>
        </is>
      </c>
      <c r="E41" t="inlineStr">
        <is>
          <t>Delhi</t>
        </is>
      </c>
      <c r="F41" t="inlineStr">
        <is>
          <t>Mid</t>
        </is>
      </c>
      <c r="G41" t="inlineStr">
        <is>
          <t>1 hour ago</t>
        </is>
      </c>
      <c r="H41">
        <f>HYPERLINK("https://in.linkedin.com/jobs/view/packaging-designer-graphic-designer-at-prakhar-software-solutions-ltd-4384648143", "Open Job")</f>
        <v/>
      </c>
      <c r="I41" t="inlineStr">
        <is>
          <t>2026-03-14 13:58</t>
        </is>
      </c>
    </row>
    <row r="42">
      <c r="A42" t="inlineStr">
        <is>
          <t>LinkedIn</t>
        </is>
      </c>
      <c r="B42" t="inlineStr">
        <is>
          <t>Social Media Manager</t>
        </is>
      </c>
      <c r="C42" t="inlineStr">
        <is>
          <t>ERM</t>
        </is>
      </c>
      <c r="D42" t="inlineStr">
        <is>
          <t>New Delhi, Delhi, India</t>
        </is>
      </c>
      <c r="E42" t="inlineStr">
        <is>
          <t>Delhi</t>
        </is>
      </c>
      <c r="F42" t="inlineStr">
        <is>
          <t>Mid</t>
        </is>
      </c>
      <c r="G42" t="inlineStr">
        <is>
          <t>18 hours ago</t>
        </is>
      </c>
      <c r="H42">
        <f>HYPERLINK("https://in.linkedin.com/jobs/view/social-media-manager-at-erm-4383110966", "Open Job")</f>
        <v/>
      </c>
      <c r="I42" t="inlineStr">
        <is>
          <t>2026-03-14 13:58</t>
        </is>
      </c>
    </row>
    <row r="43">
      <c r="A43" t="inlineStr">
        <is>
          <t>LinkedIn</t>
        </is>
      </c>
      <c r="B43" t="inlineStr">
        <is>
          <t>Billing Engineer- Delhi</t>
        </is>
      </c>
      <c r="C43" t="inlineStr">
        <is>
          <t>Turner &amp; Townsend</t>
        </is>
      </c>
      <c r="D43" t="inlineStr">
        <is>
          <t>Delhi Cantonment, Delhi, India</t>
        </is>
      </c>
      <c r="E43" t="inlineStr">
        <is>
          <t>Delhi</t>
        </is>
      </c>
      <c r="F43" t="inlineStr">
        <is>
          <t>Seniority level Not Applicable</t>
        </is>
      </c>
      <c r="G43" t="inlineStr">
        <is>
          <t>18 hours ago</t>
        </is>
      </c>
      <c r="H43">
        <f>HYPERLINK("https://in.linkedin.com/jobs/view/billing-engineer-delhi-at-turner-townsend-4384239919", "Open Job")</f>
        <v/>
      </c>
      <c r="I43" t="inlineStr">
        <is>
          <t>2026-03-14 13:58</t>
        </is>
      </c>
    </row>
    <row r="44">
      <c r="A44" t="inlineStr">
        <is>
          <t>LinkedIn</t>
        </is>
      </c>
      <c r="B44" t="inlineStr">
        <is>
          <t>Head - Product &amp; Platform Development</t>
        </is>
      </c>
      <c r="C44" t="inlineStr">
        <is>
          <t>Synfra</t>
        </is>
      </c>
      <c r="D44" t="inlineStr">
        <is>
          <t>New Delhi, Delhi, India</t>
        </is>
      </c>
      <c r="E44" t="inlineStr">
        <is>
          <t>Delhi</t>
        </is>
      </c>
      <c r="F44" t="inlineStr">
        <is>
          <t>Seniority level Not Applicable</t>
        </is>
      </c>
      <c r="G44" t="inlineStr">
        <is>
          <t>4 hours ago</t>
        </is>
      </c>
      <c r="H44">
        <f>HYPERLINK("https://in.linkedin.com/jobs/view/head-product-platform-development-at-synfra-4384622908", "Open Job")</f>
        <v/>
      </c>
      <c r="I44" t="inlineStr">
        <is>
          <t>2026-03-14 13:58</t>
        </is>
      </c>
    </row>
    <row r="45">
      <c r="A45" t="inlineStr">
        <is>
          <t>LinkedIn</t>
        </is>
      </c>
      <c r="B45" t="inlineStr">
        <is>
          <t>Beauty Advisor/Nykaa MIDTOWN Plaza</t>
        </is>
      </c>
      <c r="C45" t="inlineStr">
        <is>
          <t>The Estée Lauder Companies Inc.</t>
        </is>
      </c>
      <c r="D45" t="inlineStr">
        <is>
          <t>New Delhi, Delhi, India</t>
        </is>
      </c>
      <c r="E45" t="inlineStr">
        <is>
          <t>Delhi</t>
        </is>
      </c>
      <c r="F45" t="inlineStr">
        <is>
          <t>Seniority level Not Applicable</t>
        </is>
      </c>
      <c r="G45" t="inlineStr">
        <is>
          <t>6 hours ago</t>
        </is>
      </c>
      <c r="H45">
        <f>HYPERLINK("https://in.linkedin.com/jobs/view/beauty-advisor-nykaa-midtown-plaza-at-the-est%C3%A9e-lauder-companies-inc-4381830748", "Open Job")</f>
        <v/>
      </c>
      <c r="I45" t="inlineStr">
        <is>
          <t>2026-03-14 13:58</t>
        </is>
      </c>
    </row>
    <row r="46">
      <c r="A46" t="inlineStr">
        <is>
          <t>LinkedIn</t>
        </is>
      </c>
      <c r="B46" t="inlineStr">
        <is>
          <t>Consultant - Business Consulting Risk - FS - CNS - Risk - Process &amp; Controls - New Delhi</t>
        </is>
      </c>
      <c r="C46" t="inlineStr">
        <is>
          <t>EY</t>
        </is>
      </c>
      <c r="D46" t="inlineStr">
        <is>
          <t>Delhi, India</t>
        </is>
      </c>
      <c r="E46" t="inlineStr">
        <is>
          <t>Delhi</t>
        </is>
      </c>
      <c r="F46" t="inlineStr">
        <is>
          <t>Seniority level Not Applicable</t>
        </is>
      </c>
      <c r="G46" t="inlineStr">
        <is>
          <t>17 hours ago</t>
        </is>
      </c>
      <c r="H46">
        <f>HYPERLINK("https://in.linkedin.com/jobs/view/consultant-business-consulting-risk-fs-cns-risk-process-controls-new-delhi-at-ey-4373119460", "Open Job")</f>
        <v/>
      </c>
      <c r="I46" t="inlineStr">
        <is>
          <t>2026-03-14 13:58</t>
        </is>
      </c>
    </row>
    <row r="47">
      <c r="A47" t="inlineStr">
        <is>
          <t>LinkedIn</t>
        </is>
      </c>
      <c r="B47" t="inlineStr">
        <is>
          <t>Consultant - Business Consulting Risk - FS - CNS - Risk - Process &amp; Controls - New Delhi</t>
        </is>
      </c>
      <c r="C47" t="inlineStr">
        <is>
          <t>EY</t>
        </is>
      </c>
      <c r="D47" t="inlineStr">
        <is>
          <t>Delhi, India</t>
        </is>
      </c>
      <c r="E47" t="inlineStr">
        <is>
          <t>Delhi</t>
        </is>
      </c>
      <c r="F47" t="inlineStr">
        <is>
          <t>Seniority level Not Applicable</t>
        </is>
      </c>
      <c r="G47" t="inlineStr">
        <is>
          <t>17 hours ago</t>
        </is>
      </c>
      <c r="H47">
        <f>HYPERLINK("https://in.linkedin.com/jobs/view/consultant-business-consulting-risk-fs-cns-risk-process-controls-new-delhi-at-ey-4373114743", "Open Job")</f>
        <v/>
      </c>
      <c r="I47" t="inlineStr">
        <is>
          <t>2026-03-14 13:58</t>
        </is>
      </c>
    </row>
    <row r="48">
      <c r="A48" t="inlineStr">
        <is>
          <t>LinkedIn</t>
        </is>
      </c>
      <c r="B48" t="inlineStr">
        <is>
          <t>Senior Consultant-Tech Consulting-GOV-CNS-TC-Technology Strategy &amp; Transformation-New Delhi</t>
        </is>
      </c>
      <c r="C48" t="inlineStr">
        <is>
          <t>EY</t>
        </is>
      </c>
      <c r="D48" t="inlineStr">
        <is>
          <t>Delhi, India</t>
        </is>
      </c>
      <c r="E48" t="inlineStr">
        <is>
          <t>Delhi</t>
        </is>
      </c>
      <c r="F48" t="inlineStr">
        <is>
          <t>Seniority level Not Applicable</t>
        </is>
      </c>
      <c r="G48" t="inlineStr">
        <is>
          <t>17 hours ago</t>
        </is>
      </c>
      <c r="H48">
        <f>HYPERLINK("https://in.linkedin.com/jobs/view/senior-consultant-tech-consulting-gov-cns-tc-technology-strategy-transformation-new-delhi-at-ey-4373122372", "Open Job")</f>
        <v/>
      </c>
      <c r="I48" t="inlineStr">
        <is>
          <t>2026-03-14 13:58</t>
        </is>
      </c>
    </row>
    <row r="49">
      <c r="A49" t="inlineStr">
        <is>
          <t>LinkedIn</t>
        </is>
      </c>
      <c r="B49" t="inlineStr">
        <is>
          <t>Aolution Architect</t>
        </is>
      </c>
      <c r="C49" t="inlineStr">
        <is>
          <t>Control Risks</t>
        </is>
      </c>
      <c r="D49" t="inlineStr">
        <is>
          <t>New Delhi, Delhi, India</t>
        </is>
      </c>
      <c r="E49" t="inlineStr">
        <is>
          <t>Delhi</t>
        </is>
      </c>
      <c r="F49" t="inlineStr">
        <is>
          <t>Seniority level Not Applicable</t>
        </is>
      </c>
      <c r="G49" t="inlineStr">
        <is>
          <t>18 hours ago</t>
        </is>
      </c>
      <c r="H49">
        <f>HYPERLINK("https://in.linkedin.com/jobs/view/aolution-architect-at-control-risks-4385359536", "Open Job")</f>
        <v/>
      </c>
      <c r="I49" t="inlineStr">
        <is>
          <t>2026-03-14 13:58</t>
        </is>
      </c>
    </row>
    <row r="50">
      <c r="A50" t="inlineStr">
        <is>
          <t>LinkedIn</t>
        </is>
      </c>
      <c r="B50" t="inlineStr">
        <is>
          <t>Articled Assistant</t>
        </is>
      </c>
      <c r="C50" t="inlineStr">
        <is>
          <t>Nitin khandelwal</t>
        </is>
      </c>
      <c r="D50" t="inlineStr">
        <is>
          <t>Delhi, India</t>
        </is>
      </c>
      <c r="E50" t="inlineStr">
        <is>
          <t>Delhi</t>
        </is>
      </c>
      <c r="F50" t="inlineStr">
        <is>
          <t>Seniority level Not Applicable</t>
        </is>
      </c>
      <c r="G50" t="inlineStr">
        <is>
          <t>21 hours ago</t>
        </is>
      </c>
      <c r="H50">
        <f>HYPERLINK("https://in.linkedin.com/jobs/view/articled-assistant-4381357539", "Open Job")</f>
        <v/>
      </c>
      <c r="I50" t="inlineStr">
        <is>
          <t>2026-03-14 13:58</t>
        </is>
      </c>
    </row>
    <row r="51">
      <c r="A51" t="inlineStr">
        <is>
          <t>LinkedIn</t>
        </is>
      </c>
      <c r="B51" t="inlineStr">
        <is>
          <t>Senior Consultant - Business Consulting Risk - AMI - CNS - Risk - Process &amp; Controls - New Delhi</t>
        </is>
      </c>
      <c r="C51" t="inlineStr">
        <is>
          <t>EY</t>
        </is>
      </c>
      <c r="D51" t="inlineStr">
        <is>
          <t>Delhi, India</t>
        </is>
      </c>
      <c r="E51" t="inlineStr">
        <is>
          <t>Delhi</t>
        </is>
      </c>
      <c r="F51" t="inlineStr">
        <is>
          <t>Seniority level Not Applicable</t>
        </is>
      </c>
      <c r="G51" t="inlineStr">
        <is>
          <t>16 hours ago</t>
        </is>
      </c>
      <c r="H51">
        <f>HYPERLINK("https://in.linkedin.com/jobs/view/senior-consultant-business-consulting-risk-ami-cns-risk-process-controls-new-delhi-at-ey-4352143282", "Open Job")</f>
        <v/>
      </c>
      <c r="I51" t="inlineStr">
        <is>
          <t>2026-03-14 13:58</t>
        </is>
      </c>
    </row>
    <row r="52">
      <c r="A52" t="inlineStr">
        <is>
          <t>LinkedIn</t>
        </is>
      </c>
      <c r="B52" t="inlineStr">
        <is>
          <t>Senior Consultant - Business Consulting Risk - AMI - CNS - Risk - Process &amp; Controls - New Delhi</t>
        </is>
      </c>
      <c r="C52" t="inlineStr">
        <is>
          <t>EY</t>
        </is>
      </c>
      <c r="D52" t="inlineStr">
        <is>
          <t>Delhi, India</t>
        </is>
      </c>
      <c r="E52" t="inlineStr">
        <is>
          <t>Delhi</t>
        </is>
      </c>
      <c r="F52" t="inlineStr">
        <is>
          <t>Seniority level Not Applicable</t>
        </is>
      </c>
      <c r="G52" t="inlineStr">
        <is>
          <t>19 hours ago</t>
        </is>
      </c>
      <c r="H52">
        <f>HYPERLINK("https://in.linkedin.com/jobs/view/senior-consultant-business-consulting-risk-ami-cns-risk-process-controls-new-delhi-at-ey-4352014161", "Open Job")</f>
        <v/>
      </c>
      <c r="I52" t="inlineStr">
        <is>
          <t>2026-03-14 13:58</t>
        </is>
      </c>
    </row>
    <row r="53">
      <c r="A53" t="inlineStr">
        <is>
          <t>LinkedIn</t>
        </is>
      </c>
      <c r="B53" t="inlineStr">
        <is>
          <t>Architectural Intern</t>
        </is>
      </c>
      <c r="C53" t="inlineStr">
        <is>
          <t>URBANMISTRII STUDIO</t>
        </is>
      </c>
      <c r="D53" t="inlineStr">
        <is>
          <t>Saket, Delhi, India</t>
        </is>
      </c>
      <c r="E53" t="inlineStr">
        <is>
          <t>Delhi</t>
        </is>
      </c>
      <c r="F53" t="inlineStr">
        <is>
          <t>Seniority level Not Applicable</t>
        </is>
      </c>
      <c r="G53" t="inlineStr">
        <is>
          <t>20 hours ago</t>
        </is>
      </c>
      <c r="H53">
        <f>HYPERLINK("https://in.linkedin.com/jobs/view/architectural-intern-at-urbanmistrii-studio-4384244783", "Open Job")</f>
        <v/>
      </c>
      <c r="I53" t="inlineStr">
        <is>
          <t>2026-03-14 13:58</t>
        </is>
      </c>
    </row>
    <row r="54">
      <c r="A54" t="inlineStr">
        <is>
          <t>LinkedIn</t>
        </is>
      </c>
      <c r="B54" t="inlineStr">
        <is>
          <t>Founding Product Marketing Manager</t>
        </is>
      </c>
      <c r="C54" t="inlineStr">
        <is>
          <t>Uplers</t>
        </is>
      </c>
      <c r="D54" t="inlineStr">
        <is>
          <t>New Delhi, Delhi, India</t>
        </is>
      </c>
      <c r="E54" t="inlineStr">
        <is>
          <t>Delhi</t>
        </is>
      </c>
      <c r="F54" t="inlineStr">
        <is>
          <t>Seniority level Not Applicable</t>
        </is>
      </c>
      <c r="G54" t="inlineStr">
        <is>
          <t>19 hours ago</t>
        </is>
      </c>
      <c r="H54">
        <f>HYPERLINK("https://in.linkedin.com/jobs/view/founding-product-marketing-manager-at-uplers-4366848824", "Open Job")</f>
        <v/>
      </c>
      <c r="I54" t="inlineStr">
        <is>
          <t>2026-03-14 13:58</t>
        </is>
      </c>
    </row>
    <row r="55">
      <c r="A55" t="inlineStr">
        <is>
          <t>LinkedIn</t>
        </is>
      </c>
      <c r="B55" t="inlineStr">
        <is>
          <t>Staff Software Engineer - Backend-Heavy Full Stack (Gurugram Based)</t>
        </is>
      </c>
      <c r="C55" t="inlineStr">
        <is>
          <t>Agoda</t>
        </is>
      </c>
      <c r="D55" t="inlineStr">
        <is>
          <t>New Delhi, Delhi, India</t>
        </is>
      </c>
      <c r="E55" t="inlineStr">
        <is>
          <t>Delhi</t>
        </is>
      </c>
      <c r="F55" t="inlineStr">
        <is>
          <t>Seniority level Not Applicable</t>
        </is>
      </c>
      <c r="G55" t="inlineStr">
        <is>
          <t>13 hours ago</t>
        </is>
      </c>
      <c r="H55">
        <f>HYPERLINK("https://in.linkedin.com/jobs/view/staff-software-engineer-backend-heavy-full-stack-gurugram-based-at-agoda-4339470774", "Open Job")</f>
        <v/>
      </c>
      <c r="I55" t="inlineStr">
        <is>
          <t>2026-03-14 13:58</t>
        </is>
      </c>
    </row>
    <row r="56">
      <c r="A56" t="inlineStr">
        <is>
          <t>LinkedIn</t>
        </is>
      </c>
      <c r="B56" t="inlineStr">
        <is>
          <t>National Channel Sales Manager</t>
        </is>
      </c>
      <c r="C56" t="inlineStr">
        <is>
          <t>Intelligible Tech Solutions Pvt Ltd</t>
        </is>
      </c>
      <c r="D56" t="inlineStr">
        <is>
          <t>New Delhi, Delhi, India</t>
        </is>
      </c>
      <c r="E56" t="inlineStr">
        <is>
          <t>Delhi</t>
        </is>
      </c>
      <c r="F56" t="inlineStr">
        <is>
          <t>Seniority level Not Applicable</t>
        </is>
      </c>
      <c r="G56" t="inlineStr">
        <is>
          <t>47 minutes ago</t>
        </is>
      </c>
      <c r="H56">
        <f>HYPERLINK("https://in.linkedin.com/jobs/view/national-channel-sales-manager-at-intelligible-tech-solutions-pvt-ltd-4383628286", "Open Job")</f>
        <v/>
      </c>
      <c r="I56" t="inlineStr">
        <is>
          <t>2026-03-14 13:58</t>
        </is>
      </c>
    </row>
    <row r="57">
      <c r="A57" t="inlineStr">
        <is>
          <t>LinkedIn</t>
        </is>
      </c>
      <c r="B57" t="inlineStr">
        <is>
          <t>Collection Agent</t>
        </is>
      </c>
      <c r="C57" t="inlineStr">
        <is>
          <t>EmergencyPaisa</t>
        </is>
      </c>
      <c r="D57" t="inlineStr">
        <is>
          <t>Saraswati Vihar, Delhi, India</t>
        </is>
      </c>
      <c r="E57" t="inlineStr">
        <is>
          <t>Delhi</t>
        </is>
      </c>
      <c r="F57" t="inlineStr">
        <is>
          <t>Seniority level Not Applicable</t>
        </is>
      </c>
      <c r="G57" t="inlineStr">
        <is>
          <t>23 hours ago</t>
        </is>
      </c>
      <c r="H57">
        <f>HYPERLINK("https://in.linkedin.com/jobs/view/collection-agent-at-emergencypaisa-4384233522", "Open Job")</f>
        <v/>
      </c>
      <c r="I57" t="inlineStr">
        <is>
          <t>2026-03-14 13:58</t>
        </is>
      </c>
    </row>
    <row r="58">
      <c r="A58" t="inlineStr">
        <is>
          <t>LinkedIn</t>
        </is>
      </c>
      <c r="B58" t="inlineStr">
        <is>
          <t>Senior Consultant - Business Consulting Risk - National - CNS - RISK - RISK MANAGEMENT - New Delhi</t>
        </is>
      </c>
      <c r="C58" t="inlineStr">
        <is>
          <t>EY</t>
        </is>
      </c>
      <c r="D58" t="inlineStr">
        <is>
          <t>Delhi, India</t>
        </is>
      </c>
      <c r="E58" t="inlineStr">
        <is>
          <t>Delhi</t>
        </is>
      </c>
      <c r="F58" t="inlineStr">
        <is>
          <t>Seniority level Not Applicable</t>
        </is>
      </c>
      <c r="G58" t="inlineStr">
        <is>
          <t>16 hours ago</t>
        </is>
      </c>
      <c r="H58">
        <f>HYPERLINK("https://in.linkedin.com/jobs/view/senior-consultant-business-consulting-risk-national-cns-risk-risk-management-new-delhi-at-ey-4337486460", "Open Job")</f>
        <v/>
      </c>
      <c r="I58" t="inlineStr">
        <is>
          <t>2026-03-14 13:58</t>
        </is>
      </c>
    </row>
    <row r="59">
      <c r="A59" t="inlineStr">
        <is>
          <t>LinkedIn</t>
        </is>
      </c>
      <c r="B59" t="inlineStr">
        <is>
          <t>People &amp; Operations Manager</t>
        </is>
      </c>
      <c r="C59" t="inlineStr">
        <is>
          <t>Designing Alley</t>
        </is>
      </c>
      <c r="D59" t="inlineStr">
        <is>
          <t>New Delhi, Delhi, India</t>
        </is>
      </c>
      <c r="E59" t="inlineStr">
        <is>
          <t>Delhi</t>
        </is>
      </c>
      <c r="F59" t="inlineStr">
        <is>
          <t>Seniority level Not Applicable</t>
        </is>
      </c>
      <c r="G59" t="inlineStr">
        <is>
          <t>5 minutes ago</t>
        </is>
      </c>
      <c r="H59">
        <f>HYPERLINK("https://in.linkedin.com/jobs/view/people-operations-manager-at-designing-alley-4384627865", "Open Job")</f>
        <v/>
      </c>
      <c r="I59" t="inlineStr">
        <is>
          <t>2026-03-14 13:58</t>
        </is>
      </c>
    </row>
    <row r="60">
      <c r="A60" t="inlineStr">
        <is>
          <t>LinkedIn</t>
        </is>
      </c>
      <c r="B60" t="inlineStr">
        <is>
          <t>IMU IX Strategy Manager</t>
        </is>
      </c>
      <c r="C60" t="inlineStr">
        <is>
          <t>Accenture in India</t>
        </is>
      </c>
      <c r="D60" t="inlineStr">
        <is>
          <t>New Delhi, Delhi, India</t>
        </is>
      </c>
      <c r="E60" t="inlineStr">
        <is>
          <t>Delhi</t>
        </is>
      </c>
      <c r="F60" t="inlineStr">
        <is>
          <t>Seniority level Not Applicable</t>
        </is>
      </c>
      <c r="G60" t="inlineStr">
        <is>
          <t>18 hours ago</t>
        </is>
      </c>
      <c r="H60">
        <f>HYPERLINK("https://in.linkedin.com/jobs/view/imu-ix-strategy-manager-at-accenture-in-india-4302302012", "Open Job")</f>
        <v/>
      </c>
      <c r="I60" t="inlineStr">
        <is>
          <t>2026-03-14 13:58</t>
        </is>
      </c>
    </row>
    <row r="61">
      <c r="A61" t="inlineStr">
        <is>
          <t>LinkedIn</t>
        </is>
      </c>
      <c r="B61" t="inlineStr">
        <is>
          <t>Interior Designer</t>
        </is>
      </c>
      <c r="C61" t="inlineStr">
        <is>
          <t>Anytime Fitness India</t>
        </is>
      </c>
      <c r="D61" t="inlineStr">
        <is>
          <t>Model Town, Delhi, India</t>
        </is>
      </c>
      <c r="E61" t="inlineStr">
        <is>
          <t>Delhi</t>
        </is>
      </c>
      <c r="F61" t="inlineStr">
        <is>
          <t>Seniority level Not Applicable</t>
        </is>
      </c>
      <c r="G61" t="inlineStr">
        <is>
          <t>20 hours ago</t>
        </is>
      </c>
      <c r="H61">
        <f>HYPERLINK("https://in.linkedin.com/jobs/view/interior-designer-at-anytime-fitness-india-4384242617", "Open Job")</f>
        <v/>
      </c>
      <c r="I61" t="inlineStr">
        <is>
          <t>2026-03-14 13:58</t>
        </is>
      </c>
    </row>
    <row r="62">
      <c r="A62" t="inlineStr">
        <is>
          <t>LinkedIn</t>
        </is>
      </c>
      <c r="B62" t="inlineStr">
        <is>
          <t>Software Engineer</t>
        </is>
      </c>
      <c r="C62" t="inlineStr">
        <is>
          <t>Cisco</t>
        </is>
      </c>
      <c r="D62" t="inlineStr">
        <is>
          <t>Bengaluru, Karnataka, India</t>
        </is>
      </c>
      <c r="E62" t="inlineStr">
        <is>
          <t>Bangalore</t>
        </is>
      </c>
      <c r="F62" t="inlineStr">
        <is>
          <t>Entry</t>
        </is>
      </c>
      <c r="G62" t="inlineStr">
        <is>
          <t>18 hours ago</t>
        </is>
      </c>
      <c r="H62">
        <f>HYPERLINK("https://in.linkedin.com/jobs/view/software-engineer-at-cisco-4385350954", "Open Job")</f>
        <v/>
      </c>
      <c r="I62" t="inlineStr">
        <is>
          <t>2026-03-14 13:58</t>
        </is>
      </c>
    </row>
    <row r="63">
      <c r="A63" t="inlineStr">
        <is>
          <t>LinkedIn</t>
        </is>
      </c>
      <c r="B63" t="inlineStr">
        <is>
          <t>Software Engineer</t>
        </is>
      </c>
      <c r="C63" t="inlineStr">
        <is>
          <t>Cisco</t>
        </is>
      </c>
      <c r="D63" t="inlineStr">
        <is>
          <t>Bengaluru, Karnataka, India</t>
        </is>
      </c>
      <c r="E63" t="inlineStr">
        <is>
          <t>Bangalore</t>
        </is>
      </c>
      <c r="F63" t="inlineStr">
        <is>
          <t>Entry</t>
        </is>
      </c>
      <c r="G63" t="inlineStr">
        <is>
          <t>18 hours ago</t>
        </is>
      </c>
      <c r="H63">
        <f>HYPERLINK("https://in.linkedin.com/jobs/view/software-engineer-at-cisco-4385362556", "Open Job")</f>
        <v/>
      </c>
      <c r="I63" t="inlineStr">
        <is>
          <t>2026-03-14 13:58</t>
        </is>
      </c>
    </row>
    <row r="64">
      <c r="A64" t="inlineStr">
        <is>
          <t>LinkedIn</t>
        </is>
      </c>
      <c r="B64" t="inlineStr">
        <is>
          <t>Software Development Engineer (SDE)</t>
        </is>
      </c>
      <c r="C64" t="inlineStr">
        <is>
          <t>Scoutit</t>
        </is>
      </c>
      <c r="D64" t="inlineStr">
        <is>
          <t>Bengaluru, Karnataka, India</t>
        </is>
      </c>
      <c r="E64" t="inlineStr">
        <is>
          <t>Bangalore</t>
        </is>
      </c>
      <c r="F64" t="inlineStr">
        <is>
          <t>Entry</t>
        </is>
      </c>
      <c r="G64" t="inlineStr">
        <is>
          <t>1 day ago</t>
        </is>
      </c>
      <c r="H64">
        <f>HYPERLINK("https://in.linkedin.com/jobs/view/software-development-engineer-sde-at-scoutit-4384239169", "Open Job")</f>
        <v/>
      </c>
      <c r="I64" t="inlineStr">
        <is>
          <t>2026-03-14 13:58</t>
        </is>
      </c>
    </row>
    <row r="65">
      <c r="A65" t="inlineStr">
        <is>
          <t>LinkedIn</t>
        </is>
      </c>
      <c r="B65" t="inlineStr">
        <is>
          <t>SDE</t>
        </is>
      </c>
      <c r="C65" t="inlineStr">
        <is>
          <t>Scoutit</t>
        </is>
      </c>
      <c r="D65" t="inlineStr">
        <is>
          <t>Bengaluru, Karnataka, India</t>
        </is>
      </c>
      <c r="E65" t="inlineStr">
        <is>
          <t>Bangalore</t>
        </is>
      </c>
      <c r="F65" t="inlineStr">
        <is>
          <t>Entry</t>
        </is>
      </c>
      <c r="G65" t="inlineStr">
        <is>
          <t>23 hours ago</t>
        </is>
      </c>
      <c r="H65">
        <f>HYPERLINK("https://in.linkedin.com/jobs/view/sde-at-scoutit-4384233422", "Open Job")</f>
        <v/>
      </c>
      <c r="I65" t="inlineStr">
        <is>
          <t>2026-03-14 13:58</t>
        </is>
      </c>
    </row>
    <row r="66">
      <c r="A66" t="inlineStr">
        <is>
          <t>LinkedIn</t>
        </is>
      </c>
      <c r="B66" t="inlineStr">
        <is>
          <t>SDE</t>
        </is>
      </c>
      <c r="C66" t="inlineStr">
        <is>
          <t>Scoutit</t>
        </is>
      </c>
      <c r="D66" t="inlineStr">
        <is>
          <t>Bengaluru, Karnataka, India</t>
        </is>
      </c>
      <c r="E66" t="inlineStr">
        <is>
          <t>Bangalore</t>
        </is>
      </c>
      <c r="F66" t="inlineStr">
        <is>
          <t>Entry</t>
        </is>
      </c>
      <c r="G66" t="inlineStr">
        <is>
          <t>23 hours ago</t>
        </is>
      </c>
      <c r="H66">
        <f>HYPERLINK("https://in.linkedin.com/jobs/view/sde-at-scoutit-4384240270", "Open Job")</f>
        <v/>
      </c>
      <c r="I66" t="inlineStr">
        <is>
          <t>2026-03-14 13:58</t>
        </is>
      </c>
    </row>
    <row r="67">
      <c r="A67" t="inlineStr">
        <is>
          <t>LinkedIn</t>
        </is>
      </c>
      <c r="B67" t="inlineStr">
        <is>
          <t>Software Development Engineer (SDE)</t>
        </is>
      </c>
      <c r="C67" t="inlineStr">
        <is>
          <t>Scoutit</t>
        </is>
      </c>
      <c r="D67" t="inlineStr">
        <is>
          <t>Bengaluru, Karnataka, India</t>
        </is>
      </c>
      <c r="E67" t="inlineStr">
        <is>
          <t>Bangalore</t>
        </is>
      </c>
      <c r="F67" t="inlineStr">
        <is>
          <t>Entry</t>
        </is>
      </c>
      <c r="G67" t="inlineStr">
        <is>
          <t>1 day ago</t>
        </is>
      </c>
      <c r="H67">
        <f>HYPERLINK("https://in.linkedin.com/jobs/view/software-development-engineer-sde-at-scoutit-4384242059", "Open Job")</f>
        <v/>
      </c>
      <c r="I67" t="inlineStr">
        <is>
          <t>2026-03-14 13:58</t>
        </is>
      </c>
    </row>
    <row r="68">
      <c r="A68" t="inlineStr">
        <is>
          <t>LinkedIn</t>
        </is>
      </c>
      <c r="B68" t="inlineStr">
        <is>
          <t>Software Development Engineer (SDE)</t>
        </is>
      </c>
      <c r="C68" t="inlineStr">
        <is>
          <t>Scoutit</t>
        </is>
      </c>
      <c r="D68" t="inlineStr">
        <is>
          <t>Bengaluru East, Karnataka, India</t>
        </is>
      </c>
      <c r="E68" t="inlineStr">
        <is>
          <t>Bangalore</t>
        </is>
      </c>
      <c r="F68" t="inlineStr">
        <is>
          <t>Entry</t>
        </is>
      </c>
      <c r="G68" t="inlineStr">
        <is>
          <t>1 day ago</t>
        </is>
      </c>
      <c r="H68">
        <f>HYPERLINK("https://in.linkedin.com/jobs/view/software-development-engineer-sde-at-scoutit-4384238259", "Open Job")</f>
        <v/>
      </c>
      <c r="I68" t="inlineStr">
        <is>
          <t>2026-03-14 13:58</t>
        </is>
      </c>
    </row>
    <row r="69">
      <c r="A69" t="inlineStr">
        <is>
          <t>LinkedIn</t>
        </is>
      </c>
      <c r="B69" t="inlineStr">
        <is>
          <t>Software Development Engineer (SDE)</t>
        </is>
      </c>
      <c r="C69" t="inlineStr">
        <is>
          <t>Scoutit</t>
        </is>
      </c>
      <c r="D69" t="inlineStr">
        <is>
          <t>Bangalore Urban district, India</t>
        </is>
      </c>
      <c r="E69" t="inlineStr">
        <is>
          <t>Bangalore</t>
        </is>
      </c>
      <c r="F69" t="inlineStr">
        <is>
          <t>Entry</t>
        </is>
      </c>
      <c r="G69" t="inlineStr">
        <is>
          <t>1 day ago</t>
        </is>
      </c>
      <c r="H69">
        <f>HYPERLINK("https://in.linkedin.com/jobs/view/software-development-engineer-sde-at-scoutit-4384241169", "Open Job")</f>
        <v/>
      </c>
      <c r="I69" t="inlineStr">
        <is>
          <t>2026-03-14 13:58</t>
        </is>
      </c>
    </row>
    <row r="70">
      <c r="A70" t="inlineStr">
        <is>
          <t>LinkedIn</t>
        </is>
      </c>
      <c r="B70" t="inlineStr">
        <is>
          <t>Software Development Engineer (SDE)</t>
        </is>
      </c>
      <c r="C70" t="inlineStr">
        <is>
          <t>Scoutit</t>
        </is>
      </c>
      <c r="D70" t="inlineStr">
        <is>
          <t>Bengaluru South, Karnataka, India</t>
        </is>
      </c>
      <c r="E70" t="inlineStr">
        <is>
          <t>Bangalore</t>
        </is>
      </c>
      <c r="F70" t="inlineStr">
        <is>
          <t>Entry</t>
        </is>
      </c>
      <c r="G70" t="inlineStr">
        <is>
          <t>1 day ago</t>
        </is>
      </c>
      <c r="H70">
        <f>HYPERLINK("https://in.linkedin.com/jobs/view/software-development-engineer-sde-at-scoutit-4384231372", "Open Job")</f>
        <v/>
      </c>
      <c r="I70" t="inlineStr">
        <is>
          <t>2026-03-14 13:58</t>
        </is>
      </c>
    </row>
    <row r="71">
      <c r="A71" t="inlineStr">
        <is>
          <t>LinkedIn</t>
        </is>
      </c>
      <c r="B71" t="inlineStr">
        <is>
          <t>Software Development Engineer (SDE)</t>
        </is>
      </c>
      <c r="C71" t="inlineStr">
        <is>
          <t>Scoutit</t>
        </is>
      </c>
      <c r="D71" t="inlineStr">
        <is>
          <t>Bangalore Rural, Karnataka, India</t>
        </is>
      </c>
      <c r="E71" t="inlineStr">
        <is>
          <t>Bangalore</t>
        </is>
      </c>
      <c r="F71" t="inlineStr">
        <is>
          <t>Entry</t>
        </is>
      </c>
      <c r="G71" t="inlineStr">
        <is>
          <t>1 day ago</t>
        </is>
      </c>
      <c r="H71">
        <f>HYPERLINK("https://in.linkedin.com/jobs/view/software-development-engineer-sde-at-scoutit-4384237230", "Open Job")</f>
        <v/>
      </c>
      <c r="I71" t="inlineStr">
        <is>
          <t>2026-03-14 13:58</t>
        </is>
      </c>
    </row>
    <row r="72">
      <c r="A72" t="inlineStr">
        <is>
          <t>LinkedIn</t>
        </is>
      </c>
      <c r="B72" t="inlineStr">
        <is>
          <t>Software Development Engineer (SDE)</t>
        </is>
      </c>
      <c r="C72" t="inlineStr">
        <is>
          <t>Scoutit</t>
        </is>
      </c>
      <c r="D72" t="inlineStr">
        <is>
          <t>Bengaluru North, Karnataka, India</t>
        </is>
      </c>
      <c r="E72" t="inlineStr">
        <is>
          <t>Bangalore</t>
        </is>
      </c>
      <c r="F72" t="inlineStr">
        <is>
          <t>Entry</t>
        </is>
      </c>
      <c r="G72" t="inlineStr">
        <is>
          <t>1 day ago</t>
        </is>
      </c>
      <c r="H72">
        <f>HYPERLINK("https://in.linkedin.com/jobs/view/software-development-engineer-sde-at-scoutit-4384234352", "Open Job")</f>
        <v/>
      </c>
      <c r="I72" t="inlineStr">
        <is>
          <t>2026-03-14 13:58</t>
        </is>
      </c>
    </row>
    <row r="73">
      <c r="A73" t="inlineStr">
        <is>
          <t>LinkedIn</t>
        </is>
      </c>
      <c r="B73" t="inlineStr">
        <is>
          <t>Junior Backend Developer</t>
        </is>
      </c>
      <c r="C73" t="inlineStr">
        <is>
          <t>UST</t>
        </is>
      </c>
      <c r="D73" t="inlineStr">
        <is>
          <t>Bengaluru, Karnataka, India</t>
        </is>
      </c>
      <c r="E73" t="inlineStr">
        <is>
          <t>Bangalore</t>
        </is>
      </c>
      <c r="F73" t="inlineStr">
        <is>
          <t>Entry</t>
        </is>
      </c>
      <c r="G73" t="inlineStr">
        <is>
          <t>23 hours ago</t>
        </is>
      </c>
      <c r="H73">
        <f>HYPERLINK("https://in.linkedin.com/jobs/view/junior-backend-developer-at-ust-4383094104", "Open Job")</f>
        <v/>
      </c>
      <c r="I73" t="inlineStr">
        <is>
          <t>2026-03-14 13:58</t>
        </is>
      </c>
    </row>
    <row r="74">
      <c r="A74" t="inlineStr">
        <is>
          <t>LinkedIn</t>
        </is>
      </c>
      <c r="B74" t="inlineStr">
        <is>
          <t>Software Engr I</t>
        </is>
      </c>
      <c r="C74" t="inlineStr">
        <is>
          <t>Honeywell</t>
        </is>
      </c>
      <c r="D74" t="inlineStr">
        <is>
          <t>Bengaluru, Karnataka, India</t>
        </is>
      </c>
      <c r="E74" t="inlineStr">
        <is>
          <t>Bangalore</t>
        </is>
      </c>
      <c r="F74" t="inlineStr">
        <is>
          <t>Entry</t>
        </is>
      </c>
      <c r="G74" t="inlineStr">
        <is>
          <t>14 hours ago</t>
        </is>
      </c>
      <c r="H74">
        <f>HYPERLINK("https://in.linkedin.com/jobs/view/software-engr-i-at-honeywell-4367390651", "Open Job")</f>
        <v/>
      </c>
      <c r="I74" t="inlineStr">
        <is>
          <t>2026-03-14 13:58</t>
        </is>
      </c>
    </row>
    <row r="75">
      <c r="A75" t="inlineStr">
        <is>
          <t>LinkedIn</t>
        </is>
      </c>
      <c r="B75" t="inlineStr">
        <is>
          <t>Junior Java Developer</t>
        </is>
      </c>
      <c r="C75" t="inlineStr">
        <is>
          <t>Concentrix</t>
        </is>
      </c>
      <c r="D75" t="inlineStr">
        <is>
          <t>Bengaluru, Karnataka, India</t>
        </is>
      </c>
      <c r="E75" t="inlineStr">
        <is>
          <t>Bangalore</t>
        </is>
      </c>
      <c r="F75" t="inlineStr">
        <is>
          <t>Entry</t>
        </is>
      </c>
      <c r="G75" t="inlineStr">
        <is>
          <t>4 hours ago</t>
        </is>
      </c>
      <c r="H75">
        <f>HYPERLINK("https://in.linkedin.com/jobs/view/junior-java-developer-at-concentrix-4383614550", "Open Job")</f>
        <v/>
      </c>
      <c r="I75" t="inlineStr">
        <is>
          <t>2026-03-14 13:58</t>
        </is>
      </c>
    </row>
    <row r="76">
      <c r="A76" t="inlineStr">
        <is>
          <t>LinkedIn</t>
        </is>
      </c>
      <c r="B76" t="inlineStr">
        <is>
          <t>Junior Java Developer</t>
        </is>
      </c>
      <c r="C76" t="inlineStr">
        <is>
          <t>Concentrix</t>
        </is>
      </c>
      <c r="D76" t="inlineStr">
        <is>
          <t>Bengaluru, Karnataka, India</t>
        </is>
      </c>
      <c r="E76" t="inlineStr">
        <is>
          <t>Bangalore</t>
        </is>
      </c>
      <c r="F76" t="inlineStr">
        <is>
          <t>Entry</t>
        </is>
      </c>
      <c r="G76" t="inlineStr">
        <is>
          <t>10 hours ago</t>
        </is>
      </c>
      <c r="H76">
        <f>HYPERLINK("https://in.linkedin.com/jobs/view/junior-java-developer-at-concentrix-4383170724", "Open Job")</f>
        <v/>
      </c>
      <c r="I76" t="inlineStr">
        <is>
          <t>2026-03-14 13:58</t>
        </is>
      </c>
    </row>
    <row r="77">
      <c r="A77" t="inlineStr">
        <is>
          <t>LinkedIn</t>
        </is>
      </c>
      <c r="B77" t="inlineStr">
        <is>
          <t>Software Engr I</t>
        </is>
      </c>
      <c r="C77" t="inlineStr">
        <is>
          <t>Honeywell</t>
        </is>
      </c>
      <c r="D77" t="inlineStr">
        <is>
          <t>Bengaluru, Karnataka, India</t>
        </is>
      </c>
      <c r="E77" t="inlineStr">
        <is>
          <t>Bangalore</t>
        </is>
      </c>
      <c r="F77" t="inlineStr">
        <is>
          <t>Entry</t>
        </is>
      </c>
      <c r="G77" t="inlineStr">
        <is>
          <t>14 hours ago</t>
        </is>
      </c>
      <c r="H77">
        <f>HYPERLINK("https://in.linkedin.com/jobs/view/software-engr-i-at-honeywell-4367377896", "Open Job")</f>
        <v/>
      </c>
      <c r="I77" t="inlineStr">
        <is>
          <t>2026-03-14 13:58</t>
        </is>
      </c>
    </row>
    <row r="78">
      <c r="A78" t="inlineStr">
        <is>
          <t>LinkedIn</t>
        </is>
      </c>
      <c r="B78" t="inlineStr">
        <is>
          <t>Software Engr I</t>
        </is>
      </c>
      <c r="C78" t="inlineStr">
        <is>
          <t>Honeywell</t>
        </is>
      </c>
      <c r="D78" t="inlineStr">
        <is>
          <t>Bengaluru, Karnataka, India</t>
        </is>
      </c>
      <c r="E78" t="inlineStr">
        <is>
          <t>Bangalore</t>
        </is>
      </c>
      <c r="F78" t="inlineStr">
        <is>
          <t>Entry</t>
        </is>
      </c>
      <c r="G78" t="inlineStr">
        <is>
          <t>14 hours ago</t>
        </is>
      </c>
      <c r="H78">
        <f>HYPERLINK("https://in.linkedin.com/jobs/view/software-engr-i-at-honeywell-4358751936", "Open Job")</f>
        <v/>
      </c>
      <c r="I78" t="inlineStr">
        <is>
          <t>2026-03-14 13:58</t>
        </is>
      </c>
    </row>
    <row r="79">
      <c r="A79" t="inlineStr">
        <is>
          <t>LinkedIn</t>
        </is>
      </c>
      <c r="B79" t="inlineStr">
        <is>
          <t>Software Development Engineer in Test I</t>
        </is>
      </c>
      <c r="C79" t="inlineStr">
        <is>
          <t>HackerRank</t>
        </is>
      </c>
      <c r="D79" t="inlineStr">
        <is>
          <t>Bengaluru East, Karnataka, India</t>
        </is>
      </c>
      <c r="E79" t="inlineStr">
        <is>
          <t>Bangalore</t>
        </is>
      </c>
      <c r="F79" t="inlineStr">
        <is>
          <t>Entry</t>
        </is>
      </c>
      <c r="G79" t="inlineStr">
        <is>
          <t>20 hours ago</t>
        </is>
      </c>
      <c r="H79">
        <f>HYPERLINK("https://in.linkedin.com/jobs/view/software-development-engineer-in-test-i-at-hackerrank-4374257366", "Open Job")</f>
        <v/>
      </c>
      <c r="I79" t="inlineStr">
        <is>
          <t>2026-03-14 13:58</t>
        </is>
      </c>
    </row>
    <row r="80">
      <c r="A80" t="inlineStr">
        <is>
          <t>LinkedIn</t>
        </is>
      </c>
      <c r="B80" t="inlineStr">
        <is>
          <t>Project manager</t>
        </is>
      </c>
      <c r="C80" t="inlineStr">
        <is>
          <t>Infosys</t>
        </is>
      </c>
      <c r="D80" t="inlineStr">
        <is>
          <t>Bengaluru East, Karnataka, India</t>
        </is>
      </c>
      <c r="E80" t="inlineStr">
        <is>
          <t>Bangalore</t>
        </is>
      </c>
      <c r="F80" t="inlineStr">
        <is>
          <t>Entry</t>
        </is>
      </c>
      <c r="G80" t="inlineStr">
        <is>
          <t>18 hours ago</t>
        </is>
      </c>
      <c r="H80">
        <f>HYPERLINK("https://in.linkedin.com/jobs/view/project-manager-at-infosys-4367203228", "Open Job")</f>
        <v/>
      </c>
      <c r="I80" t="inlineStr">
        <is>
          <t>2026-03-14 13:58</t>
        </is>
      </c>
    </row>
    <row r="81">
      <c r="A81" t="inlineStr">
        <is>
          <t>LinkedIn</t>
        </is>
      </c>
      <c r="B81" t="inlineStr">
        <is>
          <t>Python Automation Network Tester</t>
        </is>
      </c>
      <c r="C81" t="inlineStr">
        <is>
          <t>Infosys</t>
        </is>
      </c>
      <c r="D81" t="inlineStr">
        <is>
          <t>Bengaluru East, Karnataka, India</t>
        </is>
      </c>
      <c r="E81" t="inlineStr">
        <is>
          <t>Bangalore</t>
        </is>
      </c>
      <c r="F81" t="inlineStr">
        <is>
          <t>Entry</t>
        </is>
      </c>
      <c r="G81" t="inlineStr">
        <is>
          <t>18 hours ago</t>
        </is>
      </c>
      <c r="H81">
        <f>HYPERLINK("https://in.linkedin.com/jobs/view/python-automation-network-tester-at-infosys-4366852791", "Open Job")</f>
        <v/>
      </c>
      <c r="I81" t="inlineStr">
        <is>
          <t>2026-03-14 13:58</t>
        </is>
      </c>
    </row>
    <row r="82">
      <c r="A82" t="inlineStr">
        <is>
          <t>LinkedIn</t>
        </is>
      </c>
      <c r="B82" t="inlineStr">
        <is>
          <t>Customer Service Rep</t>
        </is>
      </c>
      <c r="C82" t="inlineStr">
        <is>
          <t>Renesas Electronics</t>
        </is>
      </c>
      <c r="D82" t="inlineStr">
        <is>
          <t>Bengaluru, Karnataka, India</t>
        </is>
      </c>
      <c r="E82" t="inlineStr">
        <is>
          <t>Bangalore</t>
        </is>
      </c>
      <c r="F82" t="inlineStr">
        <is>
          <t>Associate</t>
        </is>
      </c>
      <c r="G82" t="inlineStr">
        <is>
          <t>14 hours ago</t>
        </is>
      </c>
      <c r="H82">
        <f>HYPERLINK("https://in.linkedin.com/jobs/view/customer-service-rep-at-renesas-electronics-4375652686", "Open Job")</f>
        <v/>
      </c>
      <c r="I82" t="inlineStr">
        <is>
          <t>2026-03-14 13:58</t>
        </is>
      </c>
    </row>
    <row r="83">
      <c r="A83" t="inlineStr">
        <is>
          <t>LinkedIn</t>
        </is>
      </c>
      <c r="B83" t="inlineStr">
        <is>
          <t>Engineering-L2-Bengaluru-Associate-Software Engineering</t>
        </is>
      </c>
      <c r="C83" t="inlineStr">
        <is>
          <t>Goldman Sachs</t>
        </is>
      </c>
      <c r="D83" t="inlineStr">
        <is>
          <t>Bengaluru, Karnataka, India</t>
        </is>
      </c>
      <c r="E83" t="inlineStr">
        <is>
          <t>Bangalore</t>
        </is>
      </c>
      <c r="F83" t="inlineStr">
        <is>
          <t>Associate</t>
        </is>
      </c>
      <c r="G83" t="inlineStr">
        <is>
          <t>17 hours ago</t>
        </is>
      </c>
      <c r="H83">
        <f>HYPERLINK("https://in.linkedin.com/jobs/view/engineering-l2-bengaluru-associate-software-engineering-at-goldman-sachs-4374056002", "Open Job")</f>
        <v/>
      </c>
      <c r="I83" t="inlineStr">
        <is>
          <t>2026-03-14 13:58</t>
        </is>
      </c>
    </row>
    <row r="84">
      <c r="A84" t="inlineStr">
        <is>
          <t>LinkedIn</t>
        </is>
      </c>
      <c r="B84" t="inlineStr">
        <is>
          <t>Software Engineer</t>
        </is>
      </c>
      <c r="C84" t="inlineStr">
        <is>
          <t>Wells Fargo</t>
        </is>
      </c>
      <c r="D84" t="inlineStr">
        <is>
          <t>Bengaluru South, Karnataka, India</t>
        </is>
      </c>
      <c r="E84" t="inlineStr">
        <is>
          <t>Bangalore</t>
        </is>
      </c>
      <c r="F84" t="inlineStr">
        <is>
          <t>Associate</t>
        </is>
      </c>
      <c r="G84" t="inlineStr">
        <is>
          <t>11 hours ago</t>
        </is>
      </c>
      <c r="H84">
        <f>HYPERLINK("https://in.linkedin.com/jobs/view/software-engineer-at-wells-fargo-4385548661", "Open Job")</f>
        <v/>
      </c>
      <c r="I84" t="inlineStr">
        <is>
          <t>2026-03-14 13:58</t>
        </is>
      </c>
    </row>
    <row r="85">
      <c r="A85" t="inlineStr">
        <is>
          <t>LinkedIn</t>
        </is>
      </c>
      <c r="B85" t="inlineStr">
        <is>
          <t>Software Testing Specialist | 3 ~ 10 years | Bangalore, Chennai, Bombay, Coimbatore, Gurgaon, Hyderabad, Pune</t>
        </is>
      </c>
      <c r="C85" t="inlineStr">
        <is>
          <t>Deloitte</t>
        </is>
      </c>
      <c r="D85" t="inlineStr">
        <is>
          <t>Bangalore Urban, Karnataka, India</t>
        </is>
      </c>
      <c r="E85" t="inlineStr">
        <is>
          <t>Bangalore</t>
        </is>
      </c>
      <c r="F85" t="inlineStr">
        <is>
          <t>Associate</t>
        </is>
      </c>
      <c r="G85" t="inlineStr">
        <is>
          <t>21 hours ago</t>
        </is>
      </c>
      <c r="H85">
        <f>HYPERLINK("https://in.linkedin.com/jobs/view/software-testing-specialist-3-%7E-10-years-bangalore-chennai-bombay-coimbatore-gurgaon-hyderabad-pune-at-deloitte-4383107039", "Open Job")</f>
        <v/>
      </c>
      <c r="I85" t="inlineStr">
        <is>
          <t>2026-03-14 13:58</t>
        </is>
      </c>
    </row>
    <row r="86">
      <c r="A86" t="inlineStr">
        <is>
          <t>LinkedIn</t>
        </is>
      </c>
      <c r="B86" t="inlineStr">
        <is>
          <t>Software Development Engineer II (Python, Data structures, SQL)</t>
        </is>
      </c>
      <c r="C86" t="inlineStr">
        <is>
          <t>Barracuda</t>
        </is>
      </c>
      <c r="D86" t="inlineStr">
        <is>
          <t>Bangalore Urban, Karnataka, India</t>
        </is>
      </c>
      <c r="E86" t="inlineStr">
        <is>
          <t>Bangalore</t>
        </is>
      </c>
      <c r="F86" t="inlineStr">
        <is>
          <t>Associate</t>
        </is>
      </c>
      <c r="G86" t="inlineStr">
        <is>
          <t>20 hours ago</t>
        </is>
      </c>
      <c r="H86">
        <f>HYPERLINK("https://in.linkedin.com/jobs/view/software-development-engineer-ii-python-data-structures-sql-at-barracuda-4344787743", "Open Job")</f>
        <v/>
      </c>
      <c r="I86" t="inlineStr">
        <is>
          <t>2026-03-14 13:58</t>
        </is>
      </c>
    </row>
    <row r="87">
      <c r="A87" t="inlineStr">
        <is>
          <t>LinkedIn</t>
        </is>
      </c>
      <c r="B87" t="inlineStr">
        <is>
          <t>Payroll Executive</t>
        </is>
      </c>
      <c r="C87" t="inlineStr">
        <is>
          <t>Prosperr.io</t>
        </is>
      </c>
      <c r="D87" t="inlineStr">
        <is>
          <t>Bengaluru, Karnataka, India</t>
        </is>
      </c>
      <c r="E87" t="inlineStr">
        <is>
          <t>Bangalore</t>
        </is>
      </c>
      <c r="F87" t="inlineStr">
        <is>
          <t>Associate</t>
        </is>
      </c>
      <c r="G87" t="inlineStr">
        <is>
          <t>17 hours ago</t>
        </is>
      </c>
      <c r="H87">
        <f>HYPERLINK("https://in.linkedin.com/jobs/view/payroll-executive-at-prosperr-io-4381565420", "Open Job")</f>
        <v/>
      </c>
      <c r="I87" t="inlineStr">
        <is>
          <t>2026-03-14 13:58</t>
        </is>
      </c>
    </row>
    <row r="88">
      <c r="A88" t="inlineStr">
        <is>
          <t>LinkedIn</t>
        </is>
      </c>
      <c r="B88" t="inlineStr">
        <is>
          <t>Investment Associate</t>
        </is>
      </c>
      <c r="C88" t="inlineStr">
        <is>
          <t>Z47</t>
        </is>
      </c>
      <c r="D88" t="inlineStr">
        <is>
          <t>Bengaluru, Karnataka, India</t>
        </is>
      </c>
      <c r="E88" t="inlineStr">
        <is>
          <t>Bangalore</t>
        </is>
      </c>
      <c r="F88" t="inlineStr">
        <is>
          <t>Associate</t>
        </is>
      </c>
      <c r="G88" t="inlineStr">
        <is>
          <t>4 hours ago</t>
        </is>
      </c>
      <c r="H88">
        <f>HYPERLINK("https://in.linkedin.com/jobs/view/investment-associate-at-z47-4384631472", "Open Job")</f>
        <v/>
      </c>
      <c r="I88" t="inlineStr">
        <is>
          <t>2026-03-14 13:58</t>
        </is>
      </c>
    </row>
    <row r="89">
      <c r="A89" t="inlineStr">
        <is>
          <t>LinkedIn</t>
        </is>
      </c>
      <c r="B89" t="inlineStr">
        <is>
          <t>Estimation Engineer</t>
        </is>
      </c>
      <c r="C89" t="inlineStr">
        <is>
          <t>Milestone Aluminium</t>
        </is>
      </c>
      <c r="D89" t="inlineStr">
        <is>
          <t>Bengaluru, Karnataka, India</t>
        </is>
      </c>
      <c r="E89" t="inlineStr">
        <is>
          <t>Bangalore</t>
        </is>
      </c>
      <c r="F89" t="inlineStr">
        <is>
          <t>Associate</t>
        </is>
      </c>
      <c r="G89" t="inlineStr">
        <is>
          <t>18 hours ago</t>
        </is>
      </c>
      <c r="H89">
        <f>HYPERLINK("https://in.linkedin.com/jobs/view/estimation-engineer-at-milestone-aluminium-4384253561", "Open Job")</f>
        <v/>
      </c>
      <c r="I89" t="inlineStr">
        <is>
          <t>2026-03-14 13:58</t>
        </is>
      </c>
    </row>
    <row r="90">
      <c r="A90" t="inlineStr">
        <is>
          <t>LinkedIn</t>
        </is>
      </c>
      <c r="B90" t="inlineStr">
        <is>
          <t>Senior Analyst - Software Engineering</t>
        </is>
      </c>
      <c r="C90" t="inlineStr">
        <is>
          <t>Nasdaq</t>
        </is>
      </c>
      <c r="D90" t="inlineStr">
        <is>
          <t>Bengaluru East, Karnataka, India</t>
        </is>
      </c>
      <c r="E90" t="inlineStr">
        <is>
          <t>Bangalore</t>
        </is>
      </c>
      <c r="F90" t="inlineStr">
        <is>
          <t>Associate</t>
        </is>
      </c>
      <c r="G90" t="inlineStr">
        <is>
          <t>13 hours ago</t>
        </is>
      </c>
      <c r="H90">
        <f>HYPERLINK("https://in.linkedin.com/jobs/view/senior-analyst-software-engineering-at-nasdaq-4344665823", "Open Job")</f>
        <v/>
      </c>
      <c r="I90" t="inlineStr">
        <is>
          <t>2026-03-14 13:58</t>
        </is>
      </c>
    </row>
    <row r="91">
      <c r="A91" t="inlineStr">
        <is>
          <t>LinkedIn</t>
        </is>
      </c>
      <c r="B91" t="inlineStr">
        <is>
          <t>Technical Recruiter</t>
        </is>
      </c>
      <c r="C91" t="inlineStr">
        <is>
          <t>Couchbase</t>
        </is>
      </c>
      <c r="D91" t="inlineStr">
        <is>
          <t>Bengaluru, Karnataka, India</t>
        </is>
      </c>
      <c r="E91" t="inlineStr">
        <is>
          <t>Bangalore</t>
        </is>
      </c>
      <c r="F91" t="inlineStr">
        <is>
          <t>Associate</t>
        </is>
      </c>
      <c r="G91" t="inlineStr">
        <is>
          <t>6 hours ago</t>
        </is>
      </c>
      <c r="H91">
        <f>HYPERLINK("https://in.linkedin.com/jobs/view/technical-recruiter-at-couchbase-4384621707", "Open Job")</f>
        <v/>
      </c>
      <c r="I91" t="inlineStr">
        <is>
          <t>2026-03-14 13:58</t>
        </is>
      </c>
    </row>
    <row r="92">
      <c r="A92" t="inlineStr">
        <is>
          <t>LinkedIn</t>
        </is>
      </c>
      <c r="B92" t="inlineStr">
        <is>
          <t>Information Technology Support Engineer</t>
        </is>
      </c>
      <c r="C92" t="inlineStr">
        <is>
          <t>Grid Dynamics</t>
        </is>
      </c>
      <c r="D92" t="inlineStr">
        <is>
          <t>Greater Bengaluru Area</t>
        </is>
      </c>
      <c r="E92" t="inlineStr">
        <is>
          <t>Bangalore</t>
        </is>
      </c>
      <c r="F92" t="inlineStr">
        <is>
          <t>Associate</t>
        </is>
      </c>
      <c r="G92" t="inlineStr">
        <is>
          <t>19 hours ago</t>
        </is>
      </c>
      <c r="H92">
        <f>HYPERLINK("https://in.linkedin.com/jobs/view/information-technology-support-engineer-at-grid-dynamics-4384256338", "Open Job")</f>
        <v/>
      </c>
      <c r="I92" t="inlineStr">
        <is>
          <t>2026-03-14 13:58</t>
        </is>
      </c>
    </row>
    <row r="93">
      <c r="A93" t="inlineStr">
        <is>
          <t>LinkedIn</t>
        </is>
      </c>
      <c r="B93" t="inlineStr">
        <is>
          <t>Benefit Verification Specialist (Health Insurance, USA)</t>
        </is>
      </c>
      <c r="C93" t="inlineStr">
        <is>
          <t>CG-VAK Software &amp; Exports Ltd.</t>
        </is>
      </c>
      <c r="D93" t="inlineStr">
        <is>
          <t>Bengaluru, Karnataka, India</t>
        </is>
      </c>
      <c r="E93" t="inlineStr">
        <is>
          <t>Bangalore</t>
        </is>
      </c>
      <c r="F93" t="inlineStr">
        <is>
          <t>Associate</t>
        </is>
      </c>
      <c r="G93" t="inlineStr">
        <is>
          <t>2 hours ago</t>
        </is>
      </c>
      <c r="H93">
        <f>HYPERLINK("https://in.linkedin.com/jobs/view/benefit-verification-specialist-health-insurance-usa-at-cg-vak-software-exports-ltd-4384641535", "Open Job")</f>
        <v/>
      </c>
      <c r="I93" t="inlineStr">
        <is>
          <t>2026-03-14 13:58</t>
        </is>
      </c>
    </row>
    <row r="94">
      <c r="A94" t="inlineStr">
        <is>
          <t>LinkedIn</t>
        </is>
      </c>
      <c r="B94" t="inlineStr">
        <is>
          <t>Java Fullstack Developer (Java + React.js)</t>
        </is>
      </c>
      <c r="C94" t="inlineStr">
        <is>
          <t>VidPro Tech &amp; Hr Solutions Private Limited</t>
        </is>
      </c>
      <c r="D94" t="inlineStr">
        <is>
          <t>Bengaluru, Karnataka, India</t>
        </is>
      </c>
      <c r="E94" t="inlineStr">
        <is>
          <t>Bangalore</t>
        </is>
      </c>
      <c r="F94" t="inlineStr">
        <is>
          <t>Associate</t>
        </is>
      </c>
      <c r="G94" t="inlineStr">
        <is>
          <t>16 hours ago</t>
        </is>
      </c>
      <c r="H94">
        <f>HYPERLINK("https://in.linkedin.com/jobs/view/java-fullstack-developer-java-%2B-react-js-at-vidpro-tech-hr-solutions-private-limited-4385396009", "Open Job")</f>
        <v/>
      </c>
      <c r="I94" t="inlineStr">
        <is>
          <t>2026-03-14 13:58</t>
        </is>
      </c>
    </row>
    <row r="95">
      <c r="A95" t="inlineStr">
        <is>
          <t>LinkedIn</t>
        </is>
      </c>
      <c r="B95" t="inlineStr">
        <is>
          <t>Electrical &amp; Industrialization Engineer</t>
        </is>
      </c>
      <c r="C95" t="inlineStr">
        <is>
          <t>Sécheron SA</t>
        </is>
      </c>
      <c r="D95" t="inlineStr">
        <is>
          <t>Anekal, Karnataka, India</t>
        </is>
      </c>
      <c r="E95" t="inlineStr">
        <is>
          <t>Bangalore</t>
        </is>
      </c>
      <c r="F95" t="inlineStr">
        <is>
          <t>Associate</t>
        </is>
      </c>
      <c r="G95" t="inlineStr">
        <is>
          <t>18 hours ago</t>
        </is>
      </c>
      <c r="H95">
        <f>HYPERLINK("https://in.linkedin.com/jobs/view/electrical-industrialization-engineer-at-s%C3%A9cheron-sa-4383237316", "Open Job")</f>
        <v/>
      </c>
      <c r="I95" t="inlineStr">
        <is>
          <t>2026-03-14 13:58</t>
        </is>
      </c>
    </row>
    <row r="96">
      <c r="A96" t="inlineStr">
        <is>
          <t>LinkedIn</t>
        </is>
      </c>
      <c r="B96" t="inlineStr">
        <is>
          <t>Node JS Developer</t>
        </is>
      </c>
      <c r="C96" t="inlineStr">
        <is>
          <t>Virtusa</t>
        </is>
      </c>
      <c r="D96" t="inlineStr">
        <is>
          <t>Bangalore Urban, Karnataka, India</t>
        </is>
      </c>
      <c r="E96" t="inlineStr">
        <is>
          <t>Bangalore</t>
        </is>
      </c>
      <c r="F96" t="inlineStr">
        <is>
          <t>Associate</t>
        </is>
      </c>
      <c r="G96" t="inlineStr">
        <is>
          <t>19 hours ago</t>
        </is>
      </c>
      <c r="H96">
        <f>HYPERLINK("https://in.linkedin.com/jobs/view/node-js-developer-at-virtusa-4344513027", "Open Job")</f>
        <v/>
      </c>
      <c r="I96" t="inlineStr">
        <is>
          <t>2026-03-14 13:58</t>
        </is>
      </c>
    </row>
    <row r="97">
      <c r="A97" t="inlineStr">
        <is>
          <t>LinkedIn</t>
        </is>
      </c>
      <c r="B97" t="inlineStr">
        <is>
          <t>Solution Designer</t>
        </is>
      </c>
      <c r="C97" t="inlineStr">
        <is>
          <t>Virtusa</t>
        </is>
      </c>
      <c r="D97" t="inlineStr">
        <is>
          <t>Bangalore Urban, Karnataka, India</t>
        </is>
      </c>
      <c r="E97" t="inlineStr">
        <is>
          <t>Bangalore</t>
        </is>
      </c>
      <c r="F97" t="inlineStr">
        <is>
          <t>Associate</t>
        </is>
      </c>
      <c r="G97" t="inlineStr">
        <is>
          <t>20 hours ago</t>
        </is>
      </c>
      <c r="H97">
        <f>HYPERLINK("https://in.linkedin.com/jobs/view/solution-designer-at-virtusa-4344324259", "Open Job")</f>
        <v/>
      </c>
      <c r="I97" t="inlineStr">
        <is>
          <t>2026-03-14 13:58</t>
        </is>
      </c>
    </row>
    <row r="98">
      <c r="A98" t="inlineStr">
        <is>
          <t>LinkedIn</t>
        </is>
      </c>
      <c r="B98" t="inlineStr">
        <is>
          <t>Tax Advisor</t>
        </is>
      </c>
      <c r="C98" t="inlineStr">
        <is>
          <t>Prosperr.io</t>
        </is>
      </c>
      <c r="D98" t="inlineStr">
        <is>
          <t>Bengaluru, Karnataka, India</t>
        </is>
      </c>
      <c r="E98" t="inlineStr">
        <is>
          <t>Bangalore</t>
        </is>
      </c>
      <c r="F98" t="inlineStr">
        <is>
          <t>Associate</t>
        </is>
      </c>
      <c r="G98" t="inlineStr">
        <is>
          <t>17 hours ago</t>
        </is>
      </c>
      <c r="H98">
        <f>HYPERLINK("https://in.linkedin.com/jobs/view/tax-advisor-at-prosperr-io-4371511126", "Open Job")</f>
        <v/>
      </c>
      <c r="I98" t="inlineStr">
        <is>
          <t>2026-03-14 13:58</t>
        </is>
      </c>
    </row>
    <row r="99">
      <c r="A99" t="inlineStr">
        <is>
          <t>LinkedIn</t>
        </is>
      </c>
      <c r="B99" t="inlineStr">
        <is>
          <t>Architecture Validation (L2, L3, C/C++, Python automation, Device modeling)</t>
        </is>
      </c>
      <c r="C99" t="inlineStr">
        <is>
          <t>Marvell Technology</t>
        </is>
      </c>
      <c r="D99" t="inlineStr">
        <is>
          <t>Bengaluru, Karnataka, India</t>
        </is>
      </c>
      <c r="E99" t="inlineStr">
        <is>
          <t>Bangalore</t>
        </is>
      </c>
      <c r="F99" t="inlineStr">
        <is>
          <t>Associate</t>
        </is>
      </c>
      <c r="G99" t="inlineStr">
        <is>
          <t>17 hours ago</t>
        </is>
      </c>
      <c r="H99">
        <f>HYPERLINK("https://in.linkedin.com/jobs/view/architecture-validation-l2-l3-c-c%2B%2B-python-automation-device-modeling-at-marvell-technology-4344513393", "Open Job")</f>
        <v/>
      </c>
      <c r="I99" t="inlineStr">
        <is>
          <t>2026-03-14 13:58</t>
        </is>
      </c>
    </row>
    <row r="100">
      <c r="A100" t="inlineStr">
        <is>
          <t>LinkedIn</t>
        </is>
      </c>
      <c r="B100" t="inlineStr">
        <is>
          <t>Customer Success Associate</t>
        </is>
      </c>
      <c r="C100" t="inlineStr">
        <is>
          <t>Prosperr.io</t>
        </is>
      </c>
      <c r="D100" t="inlineStr">
        <is>
          <t>Bengaluru, Karnataka, India</t>
        </is>
      </c>
      <c r="E100" t="inlineStr">
        <is>
          <t>Bangalore</t>
        </is>
      </c>
      <c r="F100" t="inlineStr">
        <is>
          <t>Associate</t>
        </is>
      </c>
      <c r="G100" t="inlineStr">
        <is>
          <t>17 hours ago</t>
        </is>
      </c>
      <c r="H100">
        <f>HYPERLINK("https://in.linkedin.com/jobs/view/customer-success-associate-at-prosperr-io-4385360823", "Open Job")</f>
        <v/>
      </c>
      <c r="I100" t="inlineStr">
        <is>
          <t>2026-03-14 13:58</t>
        </is>
      </c>
    </row>
    <row r="101">
      <c r="A101" t="inlineStr">
        <is>
          <t>LinkedIn</t>
        </is>
      </c>
      <c r="B101" t="inlineStr">
        <is>
          <t>IN_Associate_QA_Application Technology_Advisory_Bangalore</t>
        </is>
      </c>
      <c r="C101" t="inlineStr">
        <is>
          <t>PwC India</t>
        </is>
      </c>
      <c r="D101" t="inlineStr">
        <is>
          <t>Bengaluru, Karnataka, India</t>
        </is>
      </c>
      <c r="E101" t="inlineStr">
        <is>
          <t>Bangalore</t>
        </is>
      </c>
      <c r="F101" t="inlineStr">
        <is>
          <t>Associate</t>
        </is>
      </c>
      <c r="G101" t="inlineStr">
        <is>
          <t>13 hours ago</t>
        </is>
      </c>
      <c r="H101">
        <f>HYPERLINK("https://in.linkedin.com/jobs/view/in-associate-qa-application-technology-advisory-bangalore-at-pwc-india-4385518445", "Open Job")</f>
        <v/>
      </c>
      <c r="I101" t="inlineStr">
        <is>
          <t>2026-03-14 13:58</t>
        </is>
      </c>
    </row>
    <row r="102">
      <c r="A102" t="inlineStr">
        <is>
          <t>LinkedIn</t>
        </is>
      </c>
      <c r="B102" t="inlineStr">
        <is>
          <t>Data Scientist</t>
        </is>
      </c>
      <c r="C102" t="inlineStr">
        <is>
          <t>Deloitte</t>
        </is>
      </c>
      <c r="D102" t="inlineStr">
        <is>
          <t>Bengaluru, Karnataka, India</t>
        </is>
      </c>
      <c r="E102" t="inlineStr">
        <is>
          <t>Bangalore</t>
        </is>
      </c>
      <c r="F102" t="inlineStr">
        <is>
          <t>Mid</t>
        </is>
      </c>
      <c r="G102" t="inlineStr">
        <is>
          <t>22 hours ago</t>
        </is>
      </c>
      <c r="H102">
        <f>HYPERLINK("https://in.linkedin.com/jobs/view/data-scientist-at-deloitte-4383102094", "Open Job")</f>
        <v/>
      </c>
      <c r="I102" t="inlineStr">
        <is>
          <t>2026-03-14 13:58</t>
        </is>
      </c>
    </row>
    <row r="103">
      <c r="A103" t="inlineStr">
        <is>
          <t>LinkedIn</t>
        </is>
      </c>
      <c r="B103" t="inlineStr">
        <is>
          <t>Software Engineer, Backend (India)</t>
        </is>
      </c>
      <c r="C103" t="inlineStr">
        <is>
          <t>Glean</t>
        </is>
      </c>
      <c r="D103" t="inlineStr">
        <is>
          <t>Bengaluru, Karnataka, India</t>
        </is>
      </c>
      <c r="E103" t="inlineStr">
        <is>
          <t>Bangalore</t>
        </is>
      </c>
      <c r="F103" t="inlineStr">
        <is>
          <t>Mid</t>
        </is>
      </c>
      <c r="G103" t="inlineStr">
        <is>
          <t>18 hours ago</t>
        </is>
      </c>
      <c r="H103">
        <f>HYPERLINK("https://in.linkedin.com/jobs/view/software-engineer-backend-india-at-glean-4195254610", "Open Job")</f>
        <v/>
      </c>
      <c r="I103" t="inlineStr">
        <is>
          <t>2026-03-14 13:58</t>
        </is>
      </c>
    </row>
    <row r="104">
      <c r="A104" t="inlineStr">
        <is>
          <t>LinkedIn</t>
        </is>
      </c>
      <c r="B104" t="inlineStr">
        <is>
          <t>Software Development Engineer - II</t>
        </is>
      </c>
      <c r="C104" t="inlineStr">
        <is>
          <t>MediBuddy</t>
        </is>
      </c>
      <c r="D104" t="inlineStr">
        <is>
          <t>Bengaluru, Karnataka, India</t>
        </is>
      </c>
      <c r="E104" t="inlineStr">
        <is>
          <t>Bangalore</t>
        </is>
      </c>
      <c r="F104" t="inlineStr">
        <is>
          <t>Mid</t>
        </is>
      </c>
      <c r="G104" t="inlineStr">
        <is>
          <t>16 hours ago</t>
        </is>
      </c>
      <c r="H104">
        <f>HYPERLINK("https://in.linkedin.com/jobs/view/software-development-engineer-ii-at-medibuddy-4385390156", "Open Job")</f>
        <v/>
      </c>
      <c r="I104" t="inlineStr">
        <is>
          <t>2026-03-14 13:58</t>
        </is>
      </c>
    </row>
    <row r="105">
      <c r="A105" t="inlineStr">
        <is>
          <t>LinkedIn</t>
        </is>
      </c>
      <c r="B105" t="inlineStr">
        <is>
          <t>Software Engineer II - Frontend</t>
        </is>
      </c>
      <c r="C105" t="inlineStr">
        <is>
          <t>Uber</t>
        </is>
      </c>
      <c r="D105" t="inlineStr">
        <is>
          <t>Bengaluru, Karnataka, India</t>
        </is>
      </c>
      <c r="E105" t="inlineStr">
        <is>
          <t>Bangalore</t>
        </is>
      </c>
      <c r="F105" t="inlineStr">
        <is>
          <t>Mid</t>
        </is>
      </c>
      <c r="G105" t="inlineStr">
        <is>
          <t>4 hours ago</t>
        </is>
      </c>
      <c r="H105">
        <f>HYPERLINK("https://in.linkedin.com/jobs/view/software-engineer-ii-frontend-at-uber-4385813929", "Open Job")</f>
        <v/>
      </c>
      <c r="I105" t="inlineStr">
        <is>
          <t>2026-03-14 13:58</t>
        </is>
      </c>
    </row>
    <row r="106">
      <c r="A106" t="inlineStr">
        <is>
          <t>LinkedIn</t>
        </is>
      </c>
      <c r="B106" t="inlineStr">
        <is>
          <t>Software Engineer</t>
        </is>
      </c>
      <c r="C106" t="inlineStr">
        <is>
          <t>NXP Semiconductors</t>
        </is>
      </c>
      <c r="D106" t="inlineStr">
        <is>
          <t>Bengaluru, Karnataka, India</t>
        </is>
      </c>
      <c r="E106" t="inlineStr">
        <is>
          <t>Bangalore</t>
        </is>
      </c>
      <c r="F106" t="inlineStr">
        <is>
          <t>Mid</t>
        </is>
      </c>
      <c r="G106" t="inlineStr">
        <is>
          <t>21 hours ago</t>
        </is>
      </c>
      <c r="H106">
        <f>HYPERLINK("https://in.linkedin.com/jobs/view/software-engineer-at-nxp-semiconductors-4366854319", "Open Job")</f>
        <v/>
      </c>
      <c r="I106" t="inlineStr">
        <is>
          <t>2026-03-14 13:58</t>
        </is>
      </c>
    </row>
    <row r="107">
      <c r="A107" t="inlineStr">
        <is>
          <t>LinkedIn</t>
        </is>
      </c>
      <c r="B107" t="inlineStr">
        <is>
          <t>Software Engineer III</t>
        </is>
      </c>
      <c r="C107" t="inlineStr">
        <is>
          <t>Walmart Global Tech India</t>
        </is>
      </c>
      <c r="D107" t="inlineStr">
        <is>
          <t>Bengaluru, Karnataka, India</t>
        </is>
      </c>
      <c r="E107" t="inlineStr">
        <is>
          <t>Bangalore</t>
        </is>
      </c>
      <c r="F107" t="inlineStr">
        <is>
          <t>Mid</t>
        </is>
      </c>
      <c r="G107" t="inlineStr">
        <is>
          <t>21 hours ago</t>
        </is>
      </c>
      <c r="H107">
        <f>HYPERLINK("https://in.linkedin.com/jobs/view/software-engineer-iii-at-walmart-global-tech-india-4344331042", "Open Job")</f>
        <v/>
      </c>
      <c r="I107" t="inlineStr">
        <is>
          <t>2026-03-14 13:58</t>
        </is>
      </c>
    </row>
    <row r="108">
      <c r="A108" t="inlineStr">
        <is>
          <t>LinkedIn</t>
        </is>
      </c>
      <c r="B108" t="inlineStr">
        <is>
          <t>Senior Software Engineer, Data Science</t>
        </is>
      </c>
      <c r="C108" t="inlineStr">
        <is>
          <t>LinkedIn</t>
        </is>
      </c>
      <c r="D108" t="inlineStr">
        <is>
          <t>Bengaluru, Karnataka, India</t>
        </is>
      </c>
      <c r="E108" t="inlineStr">
        <is>
          <t>Bangalore</t>
        </is>
      </c>
      <c r="F108" t="inlineStr">
        <is>
          <t>Mid</t>
        </is>
      </c>
      <c r="G108" t="inlineStr">
        <is>
          <t>17 hours ago</t>
        </is>
      </c>
      <c r="H108">
        <f>HYPERLINK("https://in.linkedin.com/jobs/view/senior-software-engineer-data-science-at-linkedin-4385361128", "Open Job")</f>
        <v/>
      </c>
      <c r="I108" t="inlineStr">
        <is>
          <t>2026-03-14 13:58</t>
        </is>
      </c>
    </row>
    <row r="109">
      <c r="A109" t="inlineStr">
        <is>
          <t>LinkedIn</t>
        </is>
      </c>
      <c r="B109" t="inlineStr">
        <is>
          <t>Sr. Staff Software Engineer</t>
        </is>
      </c>
      <c r="C109" t="inlineStr">
        <is>
          <t>LinkedIn</t>
        </is>
      </c>
      <c r="D109" t="inlineStr">
        <is>
          <t>Bengaluru, Karnataka, India</t>
        </is>
      </c>
      <c r="E109" t="inlineStr">
        <is>
          <t>Bangalore</t>
        </is>
      </c>
      <c r="F109" t="inlineStr">
        <is>
          <t>Mid</t>
        </is>
      </c>
      <c r="G109" t="inlineStr">
        <is>
          <t>21 hours ago</t>
        </is>
      </c>
      <c r="H109">
        <f>HYPERLINK("https://in.linkedin.com/jobs/view/sr-staff-software-engineer-at-linkedin-4375646416", "Open Job")</f>
        <v/>
      </c>
      <c r="I109" t="inlineStr">
        <is>
          <t>2026-03-14 13:58</t>
        </is>
      </c>
    </row>
    <row r="110">
      <c r="A110" t="inlineStr">
        <is>
          <t>LinkedIn</t>
        </is>
      </c>
      <c r="B110" t="inlineStr">
        <is>
          <t>Software Engineer</t>
        </is>
      </c>
      <c r="C110" t="inlineStr">
        <is>
          <t>Solera Holdings, LLC.</t>
        </is>
      </c>
      <c r="D110" t="inlineStr">
        <is>
          <t>Bangalore Urban district, India</t>
        </is>
      </c>
      <c r="E110" t="inlineStr">
        <is>
          <t>Bangalore</t>
        </is>
      </c>
      <c r="F110" t="inlineStr">
        <is>
          <t>Mid</t>
        </is>
      </c>
      <c r="G110" t="inlineStr">
        <is>
          <t>20 hours ago</t>
        </is>
      </c>
      <c r="H110">
        <f>HYPERLINK("https://in.linkedin.com/jobs/view/software-engineer-at-solera-holdings-llc-4331001084", "Open Job")</f>
        <v/>
      </c>
      <c r="I110" t="inlineStr">
        <is>
          <t>2026-03-14 13:58</t>
        </is>
      </c>
    </row>
    <row r="111">
      <c r="A111" t="inlineStr">
        <is>
          <t>LinkedIn</t>
        </is>
      </c>
      <c r="B111" t="inlineStr">
        <is>
          <t>Senior Partner Solutions Engineer</t>
        </is>
      </c>
      <c r="C111" t="inlineStr">
        <is>
          <t>LinkedIn</t>
        </is>
      </c>
      <c r="D111" t="inlineStr">
        <is>
          <t>Bengaluru, Karnataka, India</t>
        </is>
      </c>
      <c r="E111" t="inlineStr">
        <is>
          <t>Bangalore</t>
        </is>
      </c>
      <c r="F111" t="inlineStr">
        <is>
          <t>Mid</t>
        </is>
      </c>
      <c r="G111" t="inlineStr">
        <is>
          <t>22 hours ago</t>
        </is>
      </c>
      <c r="H111">
        <f>HYPERLINK("https://in.linkedin.com/jobs/view/senior-partner-solutions-engineer-at-linkedin-4375650249", "Open Job")</f>
        <v/>
      </c>
      <c r="I111" t="inlineStr">
        <is>
          <t>2026-03-14 13:58</t>
        </is>
      </c>
    </row>
    <row r="112">
      <c r="A112" t="inlineStr">
        <is>
          <t>LinkedIn</t>
        </is>
      </c>
      <c r="B112" t="inlineStr">
        <is>
          <t>Software Engineer</t>
        </is>
      </c>
      <c r="C112" t="inlineStr">
        <is>
          <t>Syndigo</t>
        </is>
      </c>
      <c r="D112" t="inlineStr">
        <is>
          <t>Bengaluru, Karnataka, India</t>
        </is>
      </c>
      <c r="E112" t="inlineStr">
        <is>
          <t>Bangalore</t>
        </is>
      </c>
      <c r="F112" t="inlineStr">
        <is>
          <t>Mid</t>
        </is>
      </c>
      <c r="G112" t="inlineStr">
        <is>
          <t>17 hours ago</t>
        </is>
      </c>
      <c r="H112">
        <f>HYPERLINK("https://in.linkedin.com/jobs/view/software-engineer-at-syndigo-4385347082", "Open Job")</f>
        <v/>
      </c>
      <c r="I112" t="inlineStr">
        <is>
          <t>2026-03-14 13:58</t>
        </is>
      </c>
    </row>
    <row r="113">
      <c r="A113" t="inlineStr">
        <is>
          <t>LinkedIn</t>
        </is>
      </c>
      <c r="B113" t="inlineStr">
        <is>
          <t>Project Management Specialist</t>
        </is>
      </c>
      <c r="C113" t="inlineStr">
        <is>
          <t>Renesas Electronics</t>
        </is>
      </c>
      <c r="D113" t="inlineStr">
        <is>
          <t>Bengaluru, Karnataka, India</t>
        </is>
      </c>
      <c r="E113" t="inlineStr">
        <is>
          <t>Bangalore</t>
        </is>
      </c>
      <c r="F113" t="inlineStr">
        <is>
          <t>Mid</t>
        </is>
      </c>
      <c r="G113" t="inlineStr">
        <is>
          <t>17 hours ago</t>
        </is>
      </c>
      <c r="H113">
        <f>HYPERLINK("https://in.linkedin.com/jobs/view/project-management-specialist-at-renesas-electronics-4383123653", "Open Job")</f>
        <v/>
      </c>
      <c r="I113" t="inlineStr">
        <is>
          <t>2026-03-14 13:58</t>
        </is>
      </c>
    </row>
    <row r="114">
      <c r="A114" t="inlineStr">
        <is>
          <t>LinkedIn</t>
        </is>
      </c>
      <c r="B114" t="inlineStr">
        <is>
          <t>SOFTWARE ENGINEER III</t>
        </is>
      </c>
      <c r="C114" t="inlineStr">
        <is>
          <t>Walmart Global Tech India</t>
        </is>
      </c>
      <c r="D114" t="inlineStr">
        <is>
          <t>Bengaluru, Karnataka, India</t>
        </is>
      </c>
      <c r="E114" t="inlineStr">
        <is>
          <t>Bangalore</t>
        </is>
      </c>
      <c r="F114" t="inlineStr">
        <is>
          <t>Mid</t>
        </is>
      </c>
      <c r="G114" t="inlineStr">
        <is>
          <t>22 hours ago</t>
        </is>
      </c>
      <c r="H114">
        <f>HYPERLINK("https://in.linkedin.com/jobs/view/software-engineer-iii-at-walmart-global-tech-india-4356509466", "Open Job")</f>
        <v/>
      </c>
      <c r="I114" t="inlineStr">
        <is>
          <t>2026-03-14 13:58</t>
        </is>
      </c>
    </row>
    <row r="115">
      <c r="A115" t="inlineStr">
        <is>
          <t>LinkedIn</t>
        </is>
      </c>
      <c r="B115" t="inlineStr">
        <is>
          <t>Software Engineer II - Web Engineering - Payments 3P</t>
        </is>
      </c>
      <c r="C115" t="inlineStr">
        <is>
          <t>Uber</t>
        </is>
      </c>
      <c r="D115" t="inlineStr">
        <is>
          <t>Bengaluru, Karnataka, India</t>
        </is>
      </c>
      <c r="E115" t="inlineStr">
        <is>
          <t>Bangalore</t>
        </is>
      </c>
      <c r="F115" t="inlineStr">
        <is>
          <t>Mid</t>
        </is>
      </c>
      <c r="G115" t="inlineStr">
        <is>
          <t>10 hours ago</t>
        </is>
      </c>
      <c r="H115">
        <f>HYPERLINK("https://in.linkedin.com/jobs/view/software-engineer-ii-web-engineering-payments-3p-at-uber-4385554720", "Open Job")</f>
        <v/>
      </c>
      <c r="I115" t="inlineStr">
        <is>
          <t>2026-03-14 13:58</t>
        </is>
      </c>
    </row>
    <row r="116">
      <c r="A116" t="inlineStr">
        <is>
          <t>LinkedIn</t>
        </is>
      </c>
      <c r="B116" t="inlineStr">
        <is>
          <t>Java Full stack - Associate/Director- Software Engineering</t>
        </is>
      </c>
      <c r="C116" t="inlineStr">
        <is>
          <t>Morgan Stanley</t>
        </is>
      </c>
      <c r="D116" t="inlineStr">
        <is>
          <t>Bengaluru East, Karnataka, India</t>
        </is>
      </c>
      <c r="E116" t="inlineStr">
        <is>
          <t>Bangalore</t>
        </is>
      </c>
      <c r="F116" t="inlineStr">
        <is>
          <t>Mid</t>
        </is>
      </c>
      <c r="G116" t="inlineStr">
        <is>
          <t>15 hours ago</t>
        </is>
      </c>
      <c r="H116">
        <f>HYPERLINK("https://in.linkedin.com/jobs/view/java-full-stack-associate-director-software-engineering-at-morgan-stanley-4375685219", "Open Job")</f>
        <v/>
      </c>
      <c r="I116" t="inlineStr">
        <is>
          <t>2026-03-14 13:58</t>
        </is>
      </c>
    </row>
    <row r="117">
      <c r="A117" t="inlineStr">
        <is>
          <t>LinkedIn</t>
        </is>
      </c>
      <c r="B117" t="inlineStr">
        <is>
          <t>Staff Enterprise Engineer</t>
        </is>
      </c>
      <c r="C117" t="inlineStr">
        <is>
          <t>LinkedIn</t>
        </is>
      </c>
      <c r="D117" t="inlineStr">
        <is>
          <t>Bengaluru, Karnataka, India</t>
        </is>
      </c>
      <c r="E117" t="inlineStr">
        <is>
          <t>Bangalore</t>
        </is>
      </c>
      <c r="F117" t="inlineStr">
        <is>
          <t>Mid</t>
        </is>
      </c>
      <c r="G117" t="inlineStr">
        <is>
          <t>22 hours ago</t>
        </is>
      </c>
      <c r="H117">
        <f>HYPERLINK("https://in.linkedin.com/jobs/view/staff-enterprise-engineer-at-linkedin-4375655028", "Open Job")</f>
        <v/>
      </c>
      <c r="I117" t="inlineStr">
        <is>
          <t>2026-03-14 13:58</t>
        </is>
      </c>
    </row>
    <row r="118">
      <c r="A118" t="inlineStr">
        <is>
          <t>LinkedIn</t>
        </is>
      </c>
      <c r="B118" t="inlineStr">
        <is>
          <t>Senior Accountant</t>
        </is>
      </c>
      <c r="C118" t="inlineStr">
        <is>
          <t>P. C. Chandra Jewellers</t>
        </is>
      </c>
      <c r="D118" t="inlineStr">
        <is>
          <t>Bengaluru, Karnataka, India</t>
        </is>
      </c>
      <c r="E118" t="inlineStr">
        <is>
          <t>Bangalore</t>
        </is>
      </c>
      <c r="F118" t="inlineStr">
        <is>
          <t>Mid</t>
        </is>
      </c>
      <c r="G118" t="inlineStr">
        <is>
          <t>22 hours ago</t>
        </is>
      </c>
      <c r="H118">
        <f>HYPERLINK("https://in.linkedin.com/jobs/view/senior-accountant-at-p-c-chandra-jewellers-4384242364", "Open Job")</f>
        <v/>
      </c>
      <c r="I118" t="inlineStr">
        <is>
          <t>2026-03-14 13:58</t>
        </is>
      </c>
    </row>
    <row r="119">
      <c r="A119" t="inlineStr">
        <is>
          <t>LinkedIn</t>
        </is>
      </c>
      <c r="B119" t="inlineStr">
        <is>
          <t>Embedded Software Engineer</t>
        </is>
      </c>
      <c r="C119" t="inlineStr">
        <is>
          <t>Cisco</t>
        </is>
      </c>
      <c r="D119" t="inlineStr">
        <is>
          <t>Bengaluru, Karnataka, India</t>
        </is>
      </c>
      <c r="E119" t="inlineStr">
        <is>
          <t>Bangalore</t>
        </is>
      </c>
      <c r="F119" t="inlineStr">
        <is>
          <t>Mid</t>
        </is>
      </c>
      <c r="G119" t="inlineStr">
        <is>
          <t>1 day ago</t>
        </is>
      </c>
      <c r="H119">
        <f>HYPERLINK("https://in.linkedin.com/jobs/view/embedded-software-engineer-at-cisco-4385323307", "Open Job")</f>
        <v/>
      </c>
      <c r="I119" t="inlineStr">
        <is>
          <t>2026-03-14 13:58</t>
        </is>
      </c>
    </row>
    <row r="120">
      <c r="A120" t="inlineStr">
        <is>
          <t>LinkedIn</t>
        </is>
      </c>
      <c r="B120" t="inlineStr">
        <is>
          <t>Sr Software Engineer</t>
        </is>
      </c>
      <c r="C120" t="inlineStr">
        <is>
          <t>Uber</t>
        </is>
      </c>
      <c r="D120" t="inlineStr">
        <is>
          <t>Bengaluru, Karnataka, India</t>
        </is>
      </c>
      <c r="E120" t="inlineStr">
        <is>
          <t>Bangalore</t>
        </is>
      </c>
      <c r="F120" t="inlineStr">
        <is>
          <t>Mid</t>
        </is>
      </c>
      <c r="G120" t="inlineStr">
        <is>
          <t>10 hours ago</t>
        </is>
      </c>
      <c r="H120">
        <f>HYPERLINK("https://in.linkedin.com/jobs/view/sr-software-engineer-at-uber-4385561488", "Open Job")</f>
        <v/>
      </c>
      <c r="I120" t="inlineStr">
        <is>
          <t>2026-03-14 13:58</t>
        </is>
      </c>
    </row>
    <row r="121">
      <c r="A121" t="inlineStr">
        <is>
          <t>LinkedIn</t>
        </is>
      </c>
      <c r="B121" t="inlineStr">
        <is>
          <t>Senior Software Engineer</t>
        </is>
      </c>
      <c r="C121" t="inlineStr">
        <is>
          <t>Kobie</t>
        </is>
      </c>
      <c r="D121" t="inlineStr">
        <is>
          <t>Bengaluru, Karnataka, India</t>
        </is>
      </c>
      <c r="E121" t="inlineStr">
        <is>
          <t>Bangalore</t>
        </is>
      </c>
      <c r="F121" t="inlineStr">
        <is>
          <t>Mid</t>
        </is>
      </c>
      <c r="G121" t="inlineStr">
        <is>
          <t>21 hours ago</t>
        </is>
      </c>
      <c r="H121">
        <f>HYPERLINK("https://in.linkedin.com/jobs/view/senior-software-engineer-at-kobie-4242948229", "Open Job")</f>
        <v/>
      </c>
      <c r="I121" t="inlineStr">
        <is>
          <t>2026-03-14 13:58</t>
        </is>
      </c>
    </row>
    <row r="122">
      <c r="A122" t="inlineStr">
        <is>
          <t>LinkedIn</t>
        </is>
      </c>
      <c r="B122" t="inlineStr">
        <is>
          <t>Software Engineer</t>
        </is>
      </c>
      <c r="C122" t="inlineStr">
        <is>
          <t>Microsoft</t>
        </is>
      </c>
      <c r="D122" t="inlineStr">
        <is>
          <t>Bengaluru, Karnataka, India</t>
        </is>
      </c>
      <c r="E122" t="inlineStr">
        <is>
          <t>Bangalore</t>
        </is>
      </c>
      <c r="F122" t="inlineStr">
        <is>
          <t>Seniority level Not Applicable</t>
        </is>
      </c>
      <c r="G122" t="inlineStr">
        <is>
          <t>14 hours ago</t>
        </is>
      </c>
      <c r="H122">
        <f>HYPERLINK("https://in.linkedin.com/jobs/view/software-engineer-at-microsoft-4366861071", "Open Job")</f>
        <v/>
      </c>
      <c r="I122" t="inlineStr">
        <is>
          <t>2026-03-14 13:58</t>
        </is>
      </c>
    </row>
    <row r="123">
      <c r="A123" t="inlineStr">
        <is>
          <t>LinkedIn</t>
        </is>
      </c>
      <c r="B123" t="inlineStr">
        <is>
          <t>Software Engineer III, Software Engineering, Google Play</t>
        </is>
      </c>
      <c r="C123" t="inlineStr">
        <is>
          <t>Google</t>
        </is>
      </c>
      <c r="D123" t="inlineStr">
        <is>
          <t>Bengaluru, Karnataka, India</t>
        </is>
      </c>
      <c r="E123" t="inlineStr">
        <is>
          <t>Bangalore</t>
        </is>
      </c>
      <c r="F123" t="inlineStr">
        <is>
          <t>Seniority level Not Applicable</t>
        </is>
      </c>
      <c r="G123" t="inlineStr">
        <is>
          <t>19 hours ago</t>
        </is>
      </c>
      <c r="H123">
        <f>HYPERLINK("https://in.linkedin.com/jobs/view/software-engineer-iii-software-engineering-google-play-at-google-4374065575", "Open Job")</f>
        <v/>
      </c>
      <c r="I123" t="inlineStr">
        <is>
          <t>2026-03-14 13:58</t>
        </is>
      </c>
    </row>
    <row r="124">
      <c r="A124" t="inlineStr">
        <is>
          <t>LinkedIn</t>
        </is>
      </c>
      <c r="B124" t="inlineStr">
        <is>
          <t>Software Engineer II</t>
        </is>
      </c>
      <c r="C124" t="inlineStr">
        <is>
          <t>Microsoft</t>
        </is>
      </c>
      <c r="D124" t="inlineStr">
        <is>
          <t>Bengaluru, Karnataka, India</t>
        </is>
      </c>
      <c r="E124" t="inlineStr">
        <is>
          <t>Bangalore</t>
        </is>
      </c>
      <c r="F124" t="inlineStr">
        <is>
          <t>Seniority level Not Applicable</t>
        </is>
      </c>
      <c r="G124" t="inlineStr">
        <is>
          <t>18 hours ago</t>
        </is>
      </c>
      <c r="H124">
        <f>HYPERLINK("https://in.linkedin.com/jobs/view/software-engineer-ii-at-microsoft-4385365075", "Open Job")</f>
        <v/>
      </c>
      <c r="I124" t="inlineStr">
        <is>
          <t>2026-03-14 13:58</t>
        </is>
      </c>
    </row>
    <row r="125">
      <c r="A125" t="inlineStr">
        <is>
          <t>LinkedIn</t>
        </is>
      </c>
      <c r="B125" t="inlineStr">
        <is>
          <t>Junior Engineer - I</t>
        </is>
      </c>
      <c r="C125" t="inlineStr">
        <is>
          <t>American Express Global Business Travel</t>
        </is>
      </c>
      <c r="D125" t="inlineStr">
        <is>
          <t>Bengaluru East, Karnataka, India</t>
        </is>
      </c>
      <c r="E125" t="inlineStr">
        <is>
          <t>Bangalore</t>
        </is>
      </c>
      <c r="F125" t="inlineStr">
        <is>
          <t>Seniority level Not Applicable</t>
        </is>
      </c>
      <c r="G125" t="inlineStr">
        <is>
          <t>11 hours ago</t>
        </is>
      </c>
      <c r="H125">
        <f>HYPERLINK("https://in.linkedin.com/jobs/view/junior-engineer-i-at-american-express-global-business-travel-4383169481", "Open Job")</f>
        <v/>
      </c>
      <c r="I125" t="inlineStr">
        <is>
          <t>2026-03-14 13:58</t>
        </is>
      </c>
    </row>
    <row r="126">
      <c r="A126" t="inlineStr">
        <is>
          <t>LinkedIn</t>
        </is>
      </c>
      <c r="B126" t="inlineStr">
        <is>
          <t>Associate Engineer</t>
        </is>
      </c>
      <c r="C126" t="inlineStr">
        <is>
          <t>Qualcomm</t>
        </is>
      </c>
      <c r="D126" t="inlineStr">
        <is>
          <t>Bengaluru, Karnataka, India</t>
        </is>
      </c>
      <c r="E126" t="inlineStr">
        <is>
          <t>Bangalore</t>
        </is>
      </c>
      <c r="F126" t="inlineStr">
        <is>
          <t>Seniority level Not Applicable</t>
        </is>
      </c>
      <c r="G126" t="inlineStr">
        <is>
          <t>18 hours ago</t>
        </is>
      </c>
      <c r="H126">
        <f>HYPERLINK("https://in.linkedin.com/jobs/view/associate-engineer-at-qualcomm-4384268234", "Open Job")</f>
        <v/>
      </c>
      <c r="I126" t="inlineStr">
        <is>
          <t>2026-03-14 13:58</t>
        </is>
      </c>
    </row>
    <row r="127">
      <c r="A127" t="inlineStr">
        <is>
          <t>LinkedIn</t>
        </is>
      </c>
      <c r="B127" t="inlineStr">
        <is>
          <t>Machine Learning Engineer - Application AI</t>
        </is>
      </c>
      <c r="C127" t="inlineStr">
        <is>
          <t>SAP</t>
        </is>
      </c>
      <c r="D127" t="inlineStr">
        <is>
          <t>Bengaluru, Karnataka, India</t>
        </is>
      </c>
      <c r="E127" t="inlineStr">
        <is>
          <t>Bangalore</t>
        </is>
      </c>
      <c r="F127" t="inlineStr">
        <is>
          <t>Seniority level Not Applicable</t>
        </is>
      </c>
      <c r="G127" t="inlineStr">
        <is>
          <t>14 hours ago</t>
        </is>
      </c>
      <c r="H127">
        <f>HYPERLINK("https://in.linkedin.com/jobs/view/machine-learning-engineer-application-ai-at-sap-4320944512", "Open Job")</f>
        <v/>
      </c>
      <c r="I127" t="inlineStr">
        <is>
          <t>2026-03-14 13:58</t>
        </is>
      </c>
    </row>
    <row r="128">
      <c r="A128" t="inlineStr">
        <is>
          <t>LinkedIn</t>
        </is>
      </c>
      <c r="B128" t="inlineStr">
        <is>
          <t>Software Engineer II (Audio)</t>
        </is>
      </c>
      <c r="C128" t="inlineStr">
        <is>
          <t>Microsoft</t>
        </is>
      </c>
      <c r="D128" t="inlineStr">
        <is>
          <t>Bengaluru, Karnataka, India</t>
        </is>
      </c>
      <c r="E128" t="inlineStr">
        <is>
          <t>Bangalore</t>
        </is>
      </c>
      <c r="F128" t="inlineStr">
        <is>
          <t>Seniority level Not Applicable</t>
        </is>
      </c>
      <c r="G128" t="inlineStr">
        <is>
          <t>18 hours ago</t>
        </is>
      </c>
      <c r="H128">
        <f>HYPERLINK("https://in.linkedin.com/jobs/view/software-engineer-ii-audio-at-microsoft-4385349793", "Open Job")</f>
        <v/>
      </c>
      <c r="I128" t="inlineStr">
        <is>
          <t>2026-03-14 13:58</t>
        </is>
      </c>
    </row>
    <row r="129">
      <c r="A129" t="inlineStr">
        <is>
          <t>LinkedIn</t>
        </is>
      </c>
      <c r="B129" t="inlineStr">
        <is>
          <t>Software Engineer II (Play Ready)</t>
        </is>
      </c>
      <c r="C129" t="inlineStr">
        <is>
          <t>Microsoft</t>
        </is>
      </c>
      <c r="D129" t="inlineStr">
        <is>
          <t>Bengaluru, Karnataka, India</t>
        </is>
      </c>
      <c r="E129" t="inlineStr">
        <is>
          <t>Bangalore</t>
        </is>
      </c>
      <c r="F129" t="inlineStr">
        <is>
          <t>Seniority level Not Applicable</t>
        </is>
      </c>
      <c r="G129" t="inlineStr">
        <is>
          <t>18 hours ago</t>
        </is>
      </c>
      <c r="H129">
        <f>HYPERLINK("https://in.linkedin.com/jobs/view/software-engineer-ii-play-ready-at-microsoft-4385348813", "Open Job")</f>
        <v/>
      </c>
      <c r="I129" t="inlineStr">
        <is>
          <t>2026-03-14 13:58</t>
        </is>
      </c>
    </row>
    <row r="130">
      <c r="A130" t="inlineStr">
        <is>
          <t>LinkedIn</t>
        </is>
      </c>
      <c r="B130" t="inlineStr">
        <is>
          <t>Software Engineer Intern</t>
        </is>
      </c>
      <c r="C130" t="inlineStr">
        <is>
          <t>IBM</t>
        </is>
      </c>
      <c r="D130" t="inlineStr">
        <is>
          <t>Bengaluru, Karnataka, India</t>
        </is>
      </c>
      <c r="E130" t="inlineStr">
        <is>
          <t>Bangalore</t>
        </is>
      </c>
      <c r="F130" t="inlineStr">
        <is>
          <t>Seniority level Not Applicable</t>
        </is>
      </c>
      <c r="G130" t="inlineStr">
        <is>
          <t>23 hours ago</t>
        </is>
      </c>
      <c r="H130">
        <f>HYPERLINK("https://in.linkedin.com/jobs/view/software-engineer-intern-at-ibm-4383085631", "Open Job")</f>
        <v/>
      </c>
      <c r="I130" t="inlineStr">
        <is>
          <t>2026-03-14 13:58</t>
        </is>
      </c>
    </row>
    <row r="131">
      <c r="A131" t="inlineStr">
        <is>
          <t>LinkedIn</t>
        </is>
      </c>
      <c r="B131" t="inlineStr">
        <is>
          <t>Tech Lead - Software Development Engineer</t>
        </is>
      </c>
      <c r="C131" t="inlineStr">
        <is>
          <t>Flipkart</t>
        </is>
      </c>
      <c r="D131" t="inlineStr">
        <is>
          <t>Bengaluru, Karnataka, India</t>
        </is>
      </c>
      <c r="E131" t="inlineStr">
        <is>
          <t>Bangalore</t>
        </is>
      </c>
      <c r="F131" t="inlineStr">
        <is>
          <t>Seniority level Not Applicable</t>
        </is>
      </c>
      <c r="G131" t="inlineStr">
        <is>
          <t>21 hours ago</t>
        </is>
      </c>
      <c r="H131">
        <f>HYPERLINK("https://in.linkedin.com/jobs/view/tech-lead-software-development-engineer-at-flipkart-4347315134", "Open Job")</f>
        <v/>
      </c>
      <c r="I131" t="inlineStr">
        <is>
          <t>2026-03-14 13:58</t>
        </is>
      </c>
    </row>
    <row r="132">
      <c r="A132" t="inlineStr">
        <is>
          <t>LinkedIn</t>
        </is>
      </c>
      <c r="B132" t="inlineStr">
        <is>
          <t>Software Developer</t>
        </is>
      </c>
      <c r="C132" t="inlineStr">
        <is>
          <t>Check Point Software</t>
        </is>
      </c>
      <c r="D132" t="inlineStr">
        <is>
          <t>Bangalore Urban, Karnataka, India</t>
        </is>
      </c>
      <c r="E132" t="inlineStr">
        <is>
          <t>Bangalore</t>
        </is>
      </c>
      <c r="F132" t="inlineStr">
        <is>
          <t>Seniority level Not Applicable</t>
        </is>
      </c>
      <c r="G132" t="inlineStr">
        <is>
          <t>15 hours ago</t>
        </is>
      </c>
      <c r="H132">
        <f>HYPERLINK("https://in.linkedin.com/jobs/view/software-developer-at-check-point-software-4305638219", "Open Job")</f>
        <v/>
      </c>
      <c r="I132" t="inlineStr">
        <is>
          <t>2026-03-14 13:58</t>
        </is>
      </c>
    </row>
    <row r="133">
      <c r="A133" t="inlineStr">
        <is>
          <t>LinkedIn</t>
        </is>
      </c>
      <c r="B133" t="inlineStr">
        <is>
          <t>Software developer</t>
        </is>
      </c>
      <c r="C133" t="inlineStr">
        <is>
          <t>Siemens</t>
        </is>
      </c>
      <c r="D133" t="inlineStr">
        <is>
          <t>Bengaluru, Karnataka, India</t>
        </is>
      </c>
      <c r="E133" t="inlineStr">
        <is>
          <t>Bangalore</t>
        </is>
      </c>
      <c r="F133" t="inlineStr">
        <is>
          <t>Seniority level Not Applicable</t>
        </is>
      </c>
      <c r="G133" t="inlineStr">
        <is>
          <t>16 hours ago</t>
        </is>
      </c>
      <c r="H133">
        <f>HYPERLINK("https://in.linkedin.com/jobs/view/software-developer-at-siemens-4385394227", "Open Job")</f>
        <v/>
      </c>
      <c r="I133" t="inlineStr">
        <is>
          <t>2026-03-14 13:58</t>
        </is>
      </c>
    </row>
    <row r="134">
      <c r="A134" t="inlineStr">
        <is>
          <t>LinkedIn</t>
        </is>
      </c>
      <c r="B134" t="inlineStr">
        <is>
          <t>Software Engineer - Datacenter Networking</t>
        </is>
      </c>
      <c r="C134" t="inlineStr">
        <is>
          <t>Cisco</t>
        </is>
      </c>
      <c r="D134" t="inlineStr">
        <is>
          <t>Bengaluru, Karnataka, India</t>
        </is>
      </c>
      <c r="E134" t="inlineStr">
        <is>
          <t>Bangalore</t>
        </is>
      </c>
      <c r="F134" t="inlineStr">
        <is>
          <t>Seniority level Not Applicable</t>
        </is>
      </c>
      <c r="G134" t="inlineStr">
        <is>
          <t>13 hours ago</t>
        </is>
      </c>
      <c r="H134">
        <f>HYPERLINK("https://in.linkedin.com/jobs/view/software-engineer-datacenter-networking-at-cisco-4375651500", "Open Job")</f>
        <v/>
      </c>
      <c r="I134" t="inlineStr">
        <is>
          <t>2026-03-14 13:58</t>
        </is>
      </c>
    </row>
    <row r="135">
      <c r="A135" t="inlineStr">
        <is>
          <t>LinkedIn</t>
        </is>
      </c>
      <c r="B135" t="inlineStr">
        <is>
          <t>Program Manager, Supply Chain Procurement Operation</t>
        </is>
      </c>
      <c r="C135" t="inlineStr">
        <is>
          <t>Google</t>
        </is>
      </c>
      <c r="D135" t="inlineStr">
        <is>
          <t>Bengaluru, Karnataka, India</t>
        </is>
      </c>
      <c r="E135" t="inlineStr">
        <is>
          <t>Bangalore</t>
        </is>
      </c>
      <c r="F135" t="inlineStr">
        <is>
          <t>Seniority level Not Applicable</t>
        </is>
      </c>
      <c r="G135" t="inlineStr">
        <is>
          <t>5 hours ago</t>
        </is>
      </c>
      <c r="H135">
        <f>HYPERLINK("https://in.linkedin.com/jobs/view/program-manager-supply-chain-procurement-operation-at-google-4367507452", "Open Job")</f>
        <v/>
      </c>
      <c r="I135" t="inlineStr">
        <is>
          <t>2026-03-14 13:58</t>
        </is>
      </c>
    </row>
    <row r="136">
      <c r="A136" t="inlineStr">
        <is>
          <t>LinkedIn</t>
        </is>
      </c>
      <c r="B136" t="inlineStr">
        <is>
          <t>Backend Developer</t>
        </is>
      </c>
      <c r="C136" t="inlineStr">
        <is>
          <t>IBM</t>
        </is>
      </c>
      <c r="D136" t="inlineStr">
        <is>
          <t>Bengaluru, Karnataka, India</t>
        </is>
      </c>
      <c r="E136" t="inlineStr">
        <is>
          <t>Bangalore</t>
        </is>
      </c>
      <c r="F136" t="inlineStr">
        <is>
          <t>Seniority level Not Applicable</t>
        </is>
      </c>
      <c r="G136" t="inlineStr">
        <is>
          <t>17 hours ago</t>
        </is>
      </c>
      <c r="H136">
        <f>HYPERLINK("https://in.linkedin.com/jobs/view/backend-developer-at-ibm-4383130295", "Open Job")</f>
        <v/>
      </c>
      <c r="I136" t="inlineStr">
        <is>
          <t>2026-03-14 13:58</t>
        </is>
      </c>
    </row>
    <row r="137">
      <c r="A137" t="inlineStr">
        <is>
          <t>LinkedIn</t>
        </is>
      </c>
      <c r="B137" t="inlineStr">
        <is>
          <t>Product Operations Manager</t>
        </is>
      </c>
      <c r="C137" t="inlineStr">
        <is>
          <t>HackerRank</t>
        </is>
      </c>
      <c r="D137" t="inlineStr">
        <is>
          <t>Bengaluru East, Karnataka, India</t>
        </is>
      </c>
      <c r="E137" t="inlineStr">
        <is>
          <t>Bangalore</t>
        </is>
      </c>
      <c r="F137" t="inlineStr">
        <is>
          <t>Seniority level Not Applicable</t>
        </is>
      </c>
      <c r="G137" t="inlineStr">
        <is>
          <t>20 hours ago</t>
        </is>
      </c>
      <c r="H137">
        <f>HYPERLINK("https://in.linkedin.com/jobs/view/product-operations-manager-at-hackerrank-4341331713", "Open Job")</f>
        <v/>
      </c>
      <c r="I137" t="inlineStr">
        <is>
          <t>2026-03-14 13:58</t>
        </is>
      </c>
    </row>
    <row r="138">
      <c r="A138" t="inlineStr">
        <is>
          <t>LinkedIn</t>
        </is>
      </c>
      <c r="B138" t="inlineStr">
        <is>
          <t>Staff Data Engineer</t>
        </is>
      </c>
      <c r="C138" t="inlineStr">
        <is>
          <t>Intuit</t>
        </is>
      </c>
      <c r="D138" t="inlineStr">
        <is>
          <t>Bengaluru, Karnataka, India</t>
        </is>
      </c>
      <c r="E138" t="inlineStr">
        <is>
          <t>Bangalore</t>
        </is>
      </c>
      <c r="F138" t="inlineStr">
        <is>
          <t>Seniority level Not Applicable</t>
        </is>
      </c>
      <c r="G138" t="inlineStr">
        <is>
          <t>23 hours ago</t>
        </is>
      </c>
      <c r="H138">
        <f>HYPERLINK("https://in.linkedin.com/jobs/view/staff-data-engineer-at-intuit-4384243140", "Open Job")</f>
        <v/>
      </c>
      <c r="I138" t="inlineStr">
        <is>
          <t>2026-03-14 13:58</t>
        </is>
      </c>
    </row>
    <row r="139">
      <c r="A139" t="inlineStr">
        <is>
          <t>LinkedIn</t>
        </is>
      </c>
      <c r="B139" t="inlineStr">
        <is>
          <t>ABAP Developer</t>
        </is>
      </c>
      <c r="C139" t="inlineStr">
        <is>
          <t>SAP</t>
        </is>
      </c>
      <c r="D139" t="inlineStr">
        <is>
          <t>Bengaluru, Karnataka, India</t>
        </is>
      </c>
      <c r="E139" t="inlineStr">
        <is>
          <t>Bangalore</t>
        </is>
      </c>
      <c r="F139" t="inlineStr">
        <is>
          <t>Seniority level Not Applicable</t>
        </is>
      </c>
      <c r="G139" t="inlineStr">
        <is>
          <t>14 hours ago</t>
        </is>
      </c>
      <c r="H139">
        <f>HYPERLINK("https://in.linkedin.com/jobs/view/abap-developer-at-sap-4331021448", "Open Job")</f>
        <v/>
      </c>
      <c r="I139" t="inlineStr">
        <is>
          <t>2026-03-14 13:58</t>
        </is>
      </c>
    </row>
    <row r="140">
      <c r="A140" t="inlineStr">
        <is>
          <t>LinkedIn</t>
        </is>
      </c>
      <c r="B140" t="inlineStr">
        <is>
          <t>Software Engineer</t>
        </is>
      </c>
      <c r="C140" t="inlineStr">
        <is>
          <t>Fidelity Investments</t>
        </is>
      </c>
      <c r="D140" t="inlineStr">
        <is>
          <t>Bengaluru, Karnataka, India</t>
        </is>
      </c>
      <c r="E140" t="inlineStr">
        <is>
          <t>Bangalore</t>
        </is>
      </c>
      <c r="F140" t="inlineStr">
        <is>
          <t>Seniority level Not Applicable</t>
        </is>
      </c>
      <c r="G140" t="inlineStr">
        <is>
          <t>1 hour ago</t>
        </is>
      </c>
      <c r="H140">
        <f>HYPERLINK("https://in.linkedin.com/jobs/view/software-engineer-at-fidelity-investments-4385595595", "Open Job")</f>
        <v/>
      </c>
      <c r="I140" t="inlineStr">
        <is>
          <t>2026-03-14 13:58</t>
        </is>
      </c>
    </row>
    <row r="141">
      <c r="A141" t="inlineStr">
        <is>
          <t>LinkedIn</t>
        </is>
      </c>
      <c r="B141" t="inlineStr">
        <is>
          <t>Software Engineer</t>
        </is>
      </c>
      <c r="C141" t="inlineStr">
        <is>
          <t>Akamai Technologies</t>
        </is>
      </c>
      <c r="D141" t="inlineStr">
        <is>
          <t>Bengaluru, Karnataka, India</t>
        </is>
      </c>
      <c r="E141" t="inlineStr">
        <is>
          <t>Bangalore</t>
        </is>
      </c>
      <c r="F141" t="inlineStr">
        <is>
          <t>Seniority level Not Applicable</t>
        </is>
      </c>
      <c r="G141" t="inlineStr">
        <is>
          <t>16 hours ago</t>
        </is>
      </c>
      <c r="H141">
        <f>HYPERLINK("https://in.linkedin.com/jobs/view/software-engineer-at-akamai-technologies-4385353454", "Open Job")</f>
        <v/>
      </c>
      <c r="I141" t="inlineStr">
        <is>
          <t>2026-03-14 13:58</t>
        </is>
      </c>
    </row>
    <row r="142">
      <c r="A142" t="inlineStr">
        <is>
          <t>LinkedIn</t>
        </is>
      </c>
      <c r="B142" t="inlineStr">
        <is>
          <t>HR Coordinator, APEC</t>
        </is>
      </c>
      <c r="C142" t="inlineStr">
        <is>
          <t>Marriott International</t>
        </is>
      </c>
      <c r="D142" t="inlineStr">
        <is>
          <t>Gurugram, Haryana, India</t>
        </is>
      </c>
      <c r="E142" t="inlineStr">
        <is>
          <t>Gurugram</t>
        </is>
      </c>
      <c r="F142" t="inlineStr">
        <is>
          <t>Entry</t>
        </is>
      </c>
      <c r="G142" t="inlineStr">
        <is>
          <t>17 hours ago</t>
        </is>
      </c>
      <c r="H142">
        <f>HYPERLINK("https://in.linkedin.com/jobs/view/hr-coordinator-apec-at-marriott-international-4367352054", "Open Job")</f>
        <v/>
      </c>
      <c r="I142" t="inlineStr">
        <is>
          <t>2026-03-14 13:58</t>
        </is>
      </c>
    </row>
    <row r="143">
      <c r="A143" t="inlineStr">
        <is>
          <t>LinkedIn</t>
        </is>
      </c>
      <c r="B143" t="inlineStr">
        <is>
          <t>Software Development Engineer (SDE)</t>
        </is>
      </c>
      <c r="C143" t="inlineStr">
        <is>
          <t>Scoutit</t>
        </is>
      </c>
      <c r="D143" t="inlineStr">
        <is>
          <t>Gurugram, Haryana, India</t>
        </is>
      </c>
      <c r="E143" t="inlineStr">
        <is>
          <t>Gurugram</t>
        </is>
      </c>
      <c r="F143" t="inlineStr">
        <is>
          <t>Entry</t>
        </is>
      </c>
      <c r="G143" t="inlineStr">
        <is>
          <t>1 day ago</t>
        </is>
      </c>
      <c r="H143">
        <f>HYPERLINK("https://in.linkedin.com/jobs/view/software-development-engineer-sde-at-scoutit-4384233376", "Open Job")</f>
        <v/>
      </c>
      <c r="I143" t="inlineStr">
        <is>
          <t>2026-03-14 13:58</t>
        </is>
      </c>
    </row>
    <row r="144">
      <c r="A144" t="inlineStr">
        <is>
          <t>LinkedIn</t>
        </is>
      </c>
      <c r="B144" t="inlineStr">
        <is>
          <t>Engineer - Quality Assurance</t>
        </is>
      </c>
      <c r="C144" t="inlineStr">
        <is>
          <t>GreyOrange</t>
        </is>
      </c>
      <c r="D144" t="inlineStr">
        <is>
          <t>Gurugram, Haryana, India</t>
        </is>
      </c>
      <c r="E144" t="inlineStr">
        <is>
          <t>Gurugram</t>
        </is>
      </c>
      <c r="F144" t="inlineStr">
        <is>
          <t>Entry</t>
        </is>
      </c>
      <c r="G144" t="inlineStr">
        <is>
          <t>20 hours ago</t>
        </is>
      </c>
      <c r="H144">
        <f>HYPERLINK("https://in.linkedin.com/jobs/view/engineer-quality-assurance-at-greyorange-4385332809", "Open Job")</f>
        <v/>
      </c>
      <c r="I144" t="inlineStr">
        <is>
          <t>2026-03-14 13:58</t>
        </is>
      </c>
    </row>
    <row r="145">
      <c r="A145" t="inlineStr">
        <is>
          <t>LinkedIn</t>
        </is>
      </c>
      <c r="B145" t="inlineStr">
        <is>
          <t>FINANCE EXECUTIVE - ACCOUNTS PAYABLE</t>
        </is>
      </c>
      <c r="C145" t="inlineStr">
        <is>
          <t>ibis, ibis Styles, ibis budget</t>
        </is>
      </c>
      <c r="D145" t="inlineStr">
        <is>
          <t>Gurugram, Haryana, India</t>
        </is>
      </c>
      <c r="E145" t="inlineStr">
        <is>
          <t>Gurugram</t>
        </is>
      </c>
      <c r="F145" t="inlineStr">
        <is>
          <t>Entry</t>
        </is>
      </c>
      <c r="G145" t="inlineStr">
        <is>
          <t>18 hours ago</t>
        </is>
      </c>
      <c r="H145">
        <f>HYPERLINK("https://in.linkedin.com/jobs/view/finance-executive-accounts-payable-at-ibis-ibis-styles-ibis-budget-4384268155", "Open Job")</f>
        <v/>
      </c>
      <c r="I145" t="inlineStr">
        <is>
          <t>2026-03-14 13:58</t>
        </is>
      </c>
    </row>
    <row r="146">
      <c r="A146" t="inlineStr">
        <is>
          <t>LinkedIn</t>
        </is>
      </c>
      <c r="B146" t="inlineStr">
        <is>
          <t>Clinic Operations &amp; Billing Executive</t>
        </is>
      </c>
      <c r="C146" t="inlineStr">
        <is>
          <t>Clinikally (YC S22)</t>
        </is>
      </c>
      <c r="D146" t="inlineStr">
        <is>
          <t>Gurugram, Haryana, India</t>
        </is>
      </c>
      <c r="E146" t="inlineStr">
        <is>
          <t>Gurugram</t>
        </is>
      </c>
      <c r="F146" t="inlineStr">
        <is>
          <t>Entry</t>
        </is>
      </c>
      <c r="G146" t="inlineStr">
        <is>
          <t>18 hours ago</t>
        </is>
      </c>
      <c r="H146">
        <f>HYPERLINK("https://in.linkedin.com/jobs/view/clinic-operations-billing-executive-at-clinikally-yc-s22-4384265221", "Open Job")</f>
        <v/>
      </c>
      <c r="I146" t="inlineStr">
        <is>
          <t>2026-03-14 13:58</t>
        </is>
      </c>
    </row>
    <row r="147">
      <c r="A147" t="inlineStr">
        <is>
          <t>LinkedIn</t>
        </is>
      </c>
      <c r="B147" t="inlineStr">
        <is>
          <t>AI Engineer</t>
        </is>
      </c>
      <c r="C147" t="inlineStr">
        <is>
          <t>Benori</t>
        </is>
      </c>
      <c r="D147" t="inlineStr">
        <is>
          <t>Gurugram, Haryana, India</t>
        </is>
      </c>
      <c r="E147" t="inlineStr">
        <is>
          <t>Gurugram</t>
        </is>
      </c>
      <c r="F147" t="inlineStr">
        <is>
          <t>Entry</t>
        </is>
      </c>
      <c r="G147" t="inlineStr">
        <is>
          <t>19 hours ago</t>
        </is>
      </c>
      <c r="H147">
        <f>HYPERLINK("https://in.linkedin.com/jobs/view/ai-engineer-at-benori-4385354282", "Open Job")</f>
        <v/>
      </c>
      <c r="I147" t="inlineStr">
        <is>
          <t>2026-03-14 13:58</t>
        </is>
      </c>
    </row>
    <row r="148">
      <c r="A148" t="inlineStr">
        <is>
          <t>LinkedIn</t>
        </is>
      </c>
      <c r="B148" t="inlineStr">
        <is>
          <t>Junior Manager Network Planning (m/f/d)</t>
        </is>
      </c>
      <c r="C148" t="inlineStr">
        <is>
          <t>Flix</t>
        </is>
      </c>
      <c r="D148" t="inlineStr">
        <is>
          <t>Gurugram, Haryana, India</t>
        </is>
      </c>
      <c r="E148" t="inlineStr">
        <is>
          <t>Gurugram</t>
        </is>
      </c>
      <c r="F148" t="inlineStr">
        <is>
          <t>Entry</t>
        </is>
      </c>
      <c r="G148" t="inlineStr">
        <is>
          <t>6 hours ago</t>
        </is>
      </c>
      <c r="H148">
        <f>HYPERLINK("https://in.linkedin.com/jobs/view/junior-manager-network-planning-m-f-d-at-flix-4346196994", "Open Job")</f>
        <v/>
      </c>
      <c r="I148" t="inlineStr">
        <is>
          <t>2026-03-14 13:58</t>
        </is>
      </c>
    </row>
    <row r="149">
      <c r="A149" t="inlineStr">
        <is>
          <t>LinkedIn</t>
        </is>
      </c>
      <c r="B149" t="inlineStr">
        <is>
          <t>Engineers</t>
        </is>
      </c>
      <c r="C149" t="inlineStr">
        <is>
          <t>TÜV SÜD</t>
        </is>
      </c>
      <c r="D149" t="inlineStr">
        <is>
          <t>Gurugram, Haryana, India</t>
        </is>
      </c>
      <c r="E149" t="inlineStr">
        <is>
          <t>Gurugram</t>
        </is>
      </c>
      <c r="F149" t="inlineStr">
        <is>
          <t>Entry</t>
        </is>
      </c>
      <c r="G149" t="inlineStr">
        <is>
          <t>9 minutes ago</t>
        </is>
      </c>
      <c r="H149">
        <f>HYPERLINK("https://in.linkedin.com/jobs/view/engineers-at-t%C3%BCv-s%C3%BCd-4384649369", "Open Job")</f>
        <v/>
      </c>
      <c r="I149" t="inlineStr">
        <is>
          <t>2026-03-14 13:58</t>
        </is>
      </c>
    </row>
    <row r="150">
      <c r="A150" t="inlineStr">
        <is>
          <t>LinkedIn</t>
        </is>
      </c>
      <c r="B150" t="inlineStr">
        <is>
          <t>HR Coordinator</t>
        </is>
      </c>
      <c r="C150" t="inlineStr">
        <is>
          <t>Anaqua</t>
        </is>
      </c>
      <c r="D150" t="inlineStr">
        <is>
          <t>Gurugram, Haryana, India</t>
        </is>
      </c>
      <c r="E150" t="inlineStr">
        <is>
          <t>Gurugram</t>
        </is>
      </c>
      <c r="F150" t="inlineStr">
        <is>
          <t>Entry</t>
        </is>
      </c>
      <c r="G150" t="inlineStr">
        <is>
          <t>12 hours ago</t>
        </is>
      </c>
      <c r="H150">
        <f>HYPERLINK("https://in.linkedin.com/jobs/view/hr-coordinator-at-anaqua-4383168279", "Open Job")</f>
        <v/>
      </c>
      <c r="I150" t="inlineStr">
        <is>
          <t>2026-03-14 13:58</t>
        </is>
      </c>
    </row>
    <row r="151">
      <c r="A151" t="inlineStr">
        <is>
          <t>LinkedIn</t>
        </is>
      </c>
      <c r="B151" t="inlineStr">
        <is>
          <t>Accounting Associate (Assistant Manager)</t>
        </is>
      </c>
      <c r="C151" t="inlineStr">
        <is>
          <t>Accertify, Inc.</t>
        </is>
      </c>
      <c r="D151" t="inlineStr">
        <is>
          <t>Gurugram, Haryana, India</t>
        </is>
      </c>
      <c r="E151" t="inlineStr">
        <is>
          <t>Gurugram</t>
        </is>
      </c>
      <c r="F151" t="inlineStr">
        <is>
          <t>Entry</t>
        </is>
      </c>
      <c r="G151" t="inlineStr">
        <is>
          <t>18 hours ago</t>
        </is>
      </c>
      <c r="H151">
        <f>HYPERLINK("https://in.linkedin.com/jobs/view/accounting-associate-assistant-manager-at-accertify-inc-4383131113", "Open Job")</f>
        <v/>
      </c>
      <c r="I151" t="inlineStr">
        <is>
          <t>2026-03-14 13:58</t>
        </is>
      </c>
    </row>
    <row r="152">
      <c r="A152" t="inlineStr">
        <is>
          <t>LinkedIn</t>
        </is>
      </c>
      <c r="B152" t="inlineStr">
        <is>
          <t>Associate Consultant - Presales Solutioning-Product Development-Product Development</t>
        </is>
      </c>
      <c r="C152" t="inlineStr">
        <is>
          <t>EXL</t>
        </is>
      </c>
      <c r="D152" t="inlineStr">
        <is>
          <t>Gurugram, Haryana, India</t>
        </is>
      </c>
      <c r="E152" t="inlineStr">
        <is>
          <t>Gurugram</t>
        </is>
      </c>
      <c r="F152" t="inlineStr">
        <is>
          <t>Entry</t>
        </is>
      </c>
      <c r="G152" t="inlineStr">
        <is>
          <t>19 hours ago</t>
        </is>
      </c>
      <c r="H152">
        <f>HYPERLINK("https://in.linkedin.com/jobs/view/associate-consultant-presales-solutioning-product-development-product-development-at-exl-4338967223", "Open Job")</f>
        <v/>
      </c>
      <c r="I152" t="inlineStr">
        <is>
          <t>2026-03-14 13:58</t>
        </is>
      </c>
    </row>
    <row r="153">
      <c r="A153" t="inlineStr">
        <is>
          <t>LinkedIn</t>
        </is>
      </c>
      <c r="B153" t="inlineStr">
        <is>
          <t>DEVELOPER L3</t>
        </is>
      </c>
      <c r="C153" t="inlineStr">
        <is>
          <t>Wipro</t>
        </is>
      </c>
      <c r="D153" t="inlineStr">
        <is>
          <t>Gurugram, Haryana, India</t>
        </is>
      </c>
      <c r="E153" t="inlineStr">
        <is>
          <t>Gurugram</t>
        </is>
      </c>
      <c r="F153" t="inlineStr">
        <is>
          <t>Entry</t>
        </is>
      </c>
      <c r="G153" t="inlineStr">
        <is>
          <t>2 hours ago</t>
        </is>
      </c>
      <c r="H153">
        <f>HYPERLINK("https://in.linkedin.com/jobs/view/developer-l3-at-wipro-4384635756", "Open Job")</f>
        <v/>
      </c>
      <c r="I153" t="inlineStr">
        <is>
          <t>2026-03-14 13:58</t>
        </is>
      </c>
    </row>
    <row r="154">
      <c r="A154" t="inlineStr">
        <is>
          <t>LinkedIn</t>
        </is>
      </c>
      <c r="B154" t="inlineStr">
        <is>
          <t>Transaction Specialist</t>
        </is>
      </c>
      <c r="C154" t="inlineStr">
        <is>
          <t>AVI Consulting.in</t>
        </is>
      </c>
      <c r="D154" t="inlineStr">
        <is>
          <t>Gurugram, Haryana, India</t>
        </is>
      </c>
      <c r="E154" t="inlineStr">
        <is>
          <t>Gurugram</t>
        </is>
      </c>
      <c r="F154" t="inlineStr">
        <is>
          <t>Entry</t>
        </is>
      </c>
      <c r="G154" t="inlineStr">
        <is>
          <t>19 hours ago</t>
        </is>
      </c>
      <c r="H154">
        <f>HYPERLINK("https://in.linkedin.com/jobs/view/transaction-specialist-at-avi-consulting-in-4384250743", "Open Job")</f>
        <v/>
      </c>
      <c r="I154" t="inlineStr">
        <is>
          <t>2026-03-14 13:58</t>
        </is>
      </c>
    </row>
    <row r="155">
      <c r="A155" t="inlineStr">
        <is>
          <t>LinkedIn</t>
        </is>
      </c>
      <c r="B155" t="inlineStr">
        <is>
          <t>Software Engineer (Dotnet)</t>
        </is>
      </c>
      <c r="C155" t="inlineStr">
        <is>
          <t>Nidus Technologies</t>
        </is>
      </c>
      <c r="D155" t="inlineStr">
        <is>
          <t>Gurugram, Haryana, India</t>
        </is>
      </c>
      <c r="E155" t="inlineStr">
        <is>
          <t>Gurugram</t>
        </is>
      </c>
      <c r="F155" t="inlineStr">
        <is>
          <t>Entry</t>
        </is>
      </c>
      <c r="G155" t="inlineStr">
        <is>
          <t>23 hours ago</t>
        </is>
      </c>
      <c r="H155">
        <f>HYPERLINK("https://in.linkedin.com/jobs/view/software-engineer-dotnet-at-nidus-technologies-4384240349", "Open Job")</f>
        <v/>
      </c>
      <c r="I155" t="inlineStr">
        <is>
          <t>2026-03-14 13:58</t>
        </is>
      </c>
    </row>
    <row r="156">
      <c r="A156" t="inlineStr">
        <is>
          <t>LinkedIn</t>
        </is>
      </c>
      <c r="B156" t="inlineStr">
        <is>
          <t>Graphic Designer Gurgaon</t>
        </is>
      </c>
      <c r="C156" t="inlineStr">
        <is>
          <t>Diabexy</t>
        </is>
      </c>
      <c r="D156" t="inlineStr">
        <is>
          <t>Gurugram, Haryana, India</t>
        </is>
      </c>
      <c r="E156" t="inlineStr">
        <is>
          <t>Gurugram</t>
        </is>
      </c>
      <c r="F156" t="inlineStr">
        <is>
          <t>Entry</t>
        </is>
      </c>
      <c r="G156" t="inlineStr">
        <is>
          <t>23 hours ago</t>
        </is>
      </c>
      <c r="H156">
        <f>HYPERLINK("https://in.linkedin.com/jobs/view/graphic-designer-gurgaon-at-diabexy-4384234492", "Open Job")</f>
        <v/>
      </c>
      <c r="I156" t="inlineStr">
        <is>
          <t>2026-03-14 13:58</t>
        </is>
      </c>
    </row>
    <row r="157">
      <c r="A157" t="inlineStr">
        <is>
          <t>LinkedIn</t>
        </is>
      </c>
      <c r="B157" t="inlineStr">
        <is>
          <t>iOS Developer (1+ years of experience).</t>
        </is>
      </c>
      <c r="C157" t="inlineStr">
        <is>
          <t>Ahead WebSoft Technologies</t>
        </is>
      </c>
      <c r="D157" t="inlineStr">
        <is>
          <t>Gurugram, Haryana, India</t>
        </is>
      </c>
      <c r="E157" t="inlineStr">
        <is>
          <t>Gurugram</t>
        </is>
      </c>
      <c r="F157" t="inlineStr">
        <is>
          <t>Entry</t>
        </is>
      </c>
      <c r="G157" t="inlineStr">
        <is>
          <t>19 hours ago</t>
        </is>
      </c>
      <c r="H157">
        <f>HYPERLINK("https://in.linkedin.com/jobs/view/ios-developer-1%2B-years-of-experience-at-ahead-websoft-technologies-4385360139", "Open Job")</f>
        <v/>
      </c>
      <c r="I157" t="inlineStr">
        <is>
          <t>2026-03-14 13:58</t>
        </is>
      </c>
    </row>
    <row r="158">
      <c r="A158" t="inlineStr">
        <is>
          <t>LinkedIn</t>
        </is>
      </c>
      <c r="B158" t="inlineStr">
        <is>
          <t>Interior Designer</t>
        </is>
      </c>
      <c r="C158" t="inlineStr">
        <is>
          <t>Squareyards Consulting Private Limited</t>
        </is>
      </c>
      <c r="D158" t="inlineStr">
        <is>
          <t>Gurugram, Haryana, India</t>
        </is>
      </c>
      <c r="E158" t="inlineStr">
        <is>
          <t>Gurugram</t>
        </is>
      </c>
      <c r="F158" t="inlineStr">
        <is>
          <t>Entry</t>
        </is>
      </c>
      <c r="G158" t="inlineStr">
        <is>
          <t>22 hours ago</t>
        </is>
      </c>
      <c r="H158">
        <f>HYPERLINK("https://in.linkedin.com/jobs/view/interior-designer-at-squareyards-consulting-private-limited-4384250113", "Open Job")</f>
        <v/>
      </c>
      <c r="I158" t="inlineStr">
        <is>
          <t>2026-03-14 13:58</t>
        </is>
      </c>
    </row>
    <row r="159">
      <c r="A159" t="inlineStr">
        <is>
          <t>LinkedIn</t>
        </is>
      </c>
      <c r="B159" t="inlineStr">
        <is>
          <t>Fashion Consultant ( Assisted Sales)</t>
        </is>
      </c>
      <c r="C159" t="inlineStr">
        <is>
          <t>Lenskart.com</t>
        </is>
      </c>
      <c r="D159" t="inlineStr">
        <is>
          <t>Gurugram, Haryana, India</t>
        </is>
      </c>
      <c r="E159" t="inlineStr">
        <is>
          <t>Gurugram</t>
        </is>
      </c>
      <c r="F159" t="inlineStr">
        <is>
          <t>Entry</t>
        </is>
      </c>
      <c r="G159" t="inlineStr">
        <is>
          <t>23 hours ago</t>
        </is>
      </c>
      <c r="H159">
        <f>HYPERLINK("https://in.linkedin.com/jobs/view/fashion-consultant-assisted-sales-at-lenskart-com-4384229556", "Open Job")</f>
        <v/>
      </c>
      <c r="I159" t="inlineStr">
        <is>
          <t>2026-03-14 13:58</t>
        </is>
      </c>
    </row>
    <row r="160">
      <c r="A160" t="inlineStr">
        <is>
          <t>LinkedIn</t>
        </is>
      </c>
      <c r="B160" t="inlineStr">
        <is>
          <t>BIM Architect</t>
        </is>
      </c>
      <c r="C160" t="inlineStr">
        <is>
          <t>E&amp;A Design Consultants LLP</t>
        </is>
      </c>
      <c r="D160" t="inlineStr">
        <is>
          <t>Gurugram, Haryana, India</t>
        </is>
      </c>
      <c r="E160" t="inlineStr">
        <is>
          <t>Gurugram</t>
        </is>
      </c>
      <c r="F160" t="inlineStr">
        <is>
          <t>Entry</t>
        </is>
      </c>
      <c r="G160" t="inlineStr">
        <is>
          <t>23 hours ago</t>
        </is>
      </c>
      <c r="H160">
        <f>HYPERLINK("https://in.linkedin.com/jobs/view/bim-architect-at-e-a-design-consultants-llp-4384236427", "Open Job")</f>
        <v/>
      </c>
      <c r="I160" t="inlineStr">
        <is>
          <t>2026-03-14 13:58</t>
        </is>
      </c>
    </row>
    <row r="161">
      <c r="A161" t="inlineStr">
        <is>
          <t>LinkedIn</t>
        </is>
      </c>
      <c r="B161" t="inlineStr">
        <is>
          <t>Video Editor Fresher</t>
        </is>
      </c>
      <c r="C161" t="inlineStr">
        <is>
          <t>Diabexy</t>
        </is>
      </c>
      <c r="D161" t="inlineStr">
        <is>
          <t>Gurugram, Haryana, India</t>
        </is>
      </c>
      <c r="E161" t="inlineStr">
        <is>
          <t>Gurugram</t>
        </is>
      </c>
      <c r="F161" t="inlineStr">
        <is>
          <t>Entry</t>
        </is>
      </c>
      <c r="G161" t="inlineStr">
        <is>
          <t>23 hours ago</t>
        </is>
      </c>
      <c r="H161">
        <f>HYPERLINK("https://in.linkedin.com/jobs/view/video-editor-fresher-at-diabexy-4382852046", "Open Job")</f>
        <v/>
      </c>
      <c r="I161" t="inlineStr">
        <is>
          <t>2026-03-14 13:58</t>
        </is>
      </c>
    </row>
    <row r="162">
      <c r="A162" t="inlineStr">
        <is>
          <t>LinkedIn</t>
        </is>
      </c>
      <c r="B162" t="inlineStr">
        <is>
          <t>Admin, Payments</t>
        </is>
      </c>
      <c r="C162" t="inlineStr">
        <is>
          <t>noon</t>
        </is>
      </c>
      <c r="D162" t="inlineStr">
        <is>
          <t>Gurugram, Haryana, India</t>
        </is>
      </c>
      <c r="E162" t="inlineStr">
        <is>
          <t>Gurugram</t>
        </is>
      </c>
      <c r="F162" t="inlineStr">
        <is>
          <t>Associate</t>
        </is>
      </c>
      <c r="G162" t="inlineStr">
        <is>
          <t>22 hours ago</t>
        </is>
      </c>
      <c r="H162">
        <f>HYPERLINK("https://in.linkedin.com/jobs/view/admin-payments-at-noon-4385346118", "Open Job")</f>
        <v/>
      </c>
      <c r="I162" t="inlineStr">
        <is>
          <t>2026-03-14 13:58</t>
        </is>
      </c>
    </row>
    <row r="163">
      <c r="A163" t="inlineStr">
        <is>
          <t>LinkedIn</t>
        </is>
      </c>
      <c r="B163" t="inlineStr">
        <is>
          <t>Business Analyst Wealth Management</t>
        </is>
      </c>
      <c r="C163" t="inlineStr">
        <is>
          <t>Tata Consultancy Services</t>
        </is>
      </c>
      <c r="D163" t="inlineStr">
        <is>
          <t>Gurugram, Haryana, India</t>
        </is>
      </c>
      <c r="E163" t="inlineStr">
        <is>
          <t>Gurugram</t>
        </is>
      </c>
      <c r="F163" t="inlineStr">
        <is>
          <t>Associate</t>
        </is>
      </c>
      <c r="G163" t="inlineStr">
        <is>
          <t>18 hours ago</t>
        </is>
      </c>
      <c r="H163">
        <f>HYPERLINK("https://in.linkedin.com/jobs/view/business-analyst-wealth-management-at-tata-consultancy-services-4384264331", "Open Job")</f>
        <v/>
      </c>
      <c r="I163" t="inlineStr">
        <is>
          <t>2026-03-14 13:58</t>
        </is>
      </c>
    </row>
    <row r="164">
      <c r="A164" t="inlineStr">
        <is>
          <t>LinkedIn</t>
        </is>
      </c>
      <c r="B164" t="inlineStr">
        <is>
          <t>Software Engineer</t>
        </is>
      </c>
      <c r="C164" t="inlineStr">
        <is>
          <t>Acefone</t>
        </is>
      </c>
      <c r="D164" t="inlineStr">
        <is>
          <t>Gurugram, Haryana, India</t>
        </is>
      </c>
      <c r="E164" t="inlineStr">
        <is>
          <t>Gurugram</t>
        </is>
      </c>
      <c r="F164" t="inlineStr">
        <is>
          <t>Associate</t>
        </is>
      </c>
      <c r="G164" t="inlineStr">
        <is>
          <t>23 hours ago</t>
        </is>
      </c>
      <c r="H164">
        <f>HYPERLINK("https://in.linkedin.com/jobs/view/software-engineer-at-acefone-4384244113", "Open Job")</f>
        <v/>
      </c>
      <c r="I164" t="inlineStr">
        <is>
          <t>2026-03-14 13:58</t>
        </is>
      </c>
    </row>
    <row r="165">
      <c r="A165" t="inlineStr">
        <is>
          <t>LinkedIn</t>
        </is>
      </c>
      <c r="B165" t="inlineStr">
        <is>
          <t>Graphic Design Executive</t>
        </is>
      </c>
      <c r="C165" t="inlineStr">
        <is>
          <t>Honasa Consumer Ltd.</t>
        </is>
      </c>
      <c r="D165" t="inlineStr">
        <is>
          <t>Gurugram, Haryana, India</t>
        </is>
      </c>
      <c r="E165" t="inlineStr">
        <is>
          <t>Gurugram</t>
        </is>
      </c>
      <c r="F165" t="inlineStr">
        <is>
          <t>Associate</t>
        </is>
      </c>
      <c r="G165" t="inlineStr">
        <is>
          <t>14 hours ago</t>
        </is>
      </c>
      <c r="H165">
        <f>HYPERLINK("https://in.linkedin.com/jobs/view/graphic-design-executive-at-honasa-consumer-ltd-4383159292", "Open Job")</f>
        <v/>
      </c>
      <c r="I165" t="inlineStr">
        <is>
          <t>2026-03-14 13:58</t>
        </is>
      </c>
    </row>
    <row r="166">
      <c r="A166" t="inlineStr">
        <is>
          <t>LinkedIn</t>
        </is>
      </c>
      <c r="B166" t="inlineStr">
        <is>
          <t>Back-End Engineer</t>
        </is>
      </c>
      <c r="C166" t="inlineStr">
        <is>
          <t>Payoneer</t>
        </is>
      </c>
      <c r="D166" t="inlineStr">
        <is>
          <t>Gurugram, Haryana, India</t>
        </is>
      </c>
      <c r="E166" t="inlineStr">
        <is>
          <t>Gurugram</t>
        </is>
      </c>
      <c r="F166" t="inlineStr">
        <is>
          <t>Associate</t>
        </is>
      </c>
      <c r="G166" t="inlineStr">
        <is>
          <t>9 hours ago</t>
        </is>
      </c>
      <c r="H166">
        <f>HYPERLINK("https://in.linkedin.com/jobs/view/back-end-engineer-at-payoneer-4342709089", "Open Job")</f>
        <v/>
      </c>
      <c r="I166" t="inlineStr">
        <is>
          <t>2026-03-14 13:58</t>
        </is>
      </c>
    </row>
    <row r="167">
      <c r="A167" t="inlineStr">
        <is>
          <t>LinkedIn</t>
        </is>
      </c>
      <c r="B167" t="inlineStr">
        <is>
          <t>Senior Development Engineer - BackEnd Technologies</t>
        </is>
      </c>
      <c r="C167" t="inlineStr">
        <is>
          <t>AVIZVA</t>
        </is>
      </c>
      <c r="D167" t="inlineStr">
        <is>
          <t>Gurugram, Haryana, India</t>
        </is>
      </c>
      <c r="E167" t="inlineStr">
        <is>
          <t>Gurugram</t>
        </is>
      </c>
      <c r="F167" t="inlineStr">
        <is>
          <t>Associate</t>
        </is>
      </c>
      <c r="G167" t="inlineStr">
        <is>
          <t>18 hours ago</t>
        </is>
      </c>
      <c r="H167">
        <f>HYPERLINK("https://in.linkedin.com/jobs/view/senior-development-engineer-backend-technologies-at-avizva-4384267197", "Open Job")</f>
        <v/>
      </c>
      <c r="I167" t="inlineStr">
        <is>
          <t>2026-03-14 13:58</t>
        </is>
      </c>
    </row>
    <row r="168">
      <c r="A168" t="inlineStr">
        <is>
          <t>LinkedIn</t>
        </is>
      </c>
      <c r="B168" t="inlineStr">
        <is>
          <t>Event Management Specialist</t>
        </is>
      </c>
      <c r="C168" t="inlineStr">
        <is>
          <t>Embee Software</t>
        </is>
      </c>
      <c r="D168" t="inlineStr">
        <is>
          <t>Gurugram, Haryana, India</t>
        </is>
      </c>
      <c r="E168" t="inlineStr">
        <is>
          <t>Gurugram</t>
        </is>
      </c>
      <c r="F168" t="inlineStr">
        <is>
          <t>Associate</t>
        </is>
      </c>
      <c r="G168" t="inlineStr">
        <is>
          <t>23 hours ago</t>
        </is>
      </c>
      <c r="H168">
        <f>HYPERLINK("https://in.linkedin.com/jobs/view/event-management-specialist-at-embee-software-4385330297", "Open Job")</f>
        <v/>
      </c>
      <c r="I168" t="inlineStr">
        <is>
          <t>2026-03-14 13:58</t>
        </is>
      </c>
    </row>
    <row r="169">
      <c r="A169" t="inlineStr">
        <is>
          <t>LinkedIn</t>
        </is>
      </c>
      <c r="B169" t="inlineStr">
        <is>
          <t>Wellness Specialist</t>
        </is>
      </c>
      <c r="C169" t="inlineStr">
        <is>
          <t>Policybazaar for Business</t>
        </is>
      </c>
      <c r="D169" t="inlineStr">
        <is>
          <t>Gurugram, Haryana, India</t>
        </is>
      </c>
      <c r="E169" t="inlineStr">
        <is>
          <t>Gurugram</t>
        </is>
      </c>
      <c r="F169" t="inlineStr">
        <is>
          <t>Associate</t>
        </is>
      </c>
      <c r="G169" t="inlineStr">
        <is>
          <t>22 hours ago</t>
        </is>
      </c>
      <c r="H169">
        <f>HYPERLINK("https://in.linkedin.com/jobs/view/wellness-specialist-at-policybazaar-for-business-4383099167", "Open Job")</f>
        <v/>
      </c>
      <c r="I169" t="inlineStr">
        <is>
          <t>2026-03-14 13:58</t>
        </is>
      </c>
    </row>
    <row r="170">
      <c r="A170" t="inlineStr">
        <is>
          <t>LinkedIn</t>
        </is>
      </c>
      <c r="B170" t="inlineStr">
        <is>
          <t>Flight Simulator Technician</t>
        </is>
      </c>
      <c r="C170" t="inlineStr">
        <is>
          <t>Simaero</t>
        </is>
      </c>
      <c r="D170" t="inlineStr">
        <is>
          <t>Gurugram, Haryana, India</t>
        </is>
      </c>
      <c r="E170" t="inlineStr">
        <is>
          <t>Gurugram</t>
        </is>
      </c>
      <c r="F170" t="inlineStr">
        <is>
          <t>Associate</t>
        </is>
      </c>
      <c r="G170" t="inlineStr">
        <is>
          <t>23 hours ago</t>
        </is>
      </c>
      <c r="H170">
        <f>HYPERLINK("https://in.linkedin.com/jobs/view/flight-simulator-technician-at-simaero-4385322754", "Open Job")</f>
        <v/>
      </c>
      <c r="I170" t="inlineStr">
        <is>
          <t>2026-03-14 13:58</t>
        </is>
      </c>
    </row>
    <row r="171">
      <c r="A171" t="inlineStr">
        <is>
          <t>LinkedIn</t>
        </is>
      </c>
      <c r="B171" t="inlineStr">
        <is>
          <t>Core Treasury Manager</t>
        </is>
      </c>
      <c r="C171" t="inlineStr">
        <is>
          <t>Aspire</t>
        </is>
      </c>
      <c r="D171" t="inlineStr">
        <is>
          <t>Gurugram, Haryana, India</t>
        </is>
      </c>
      <c r="E171" t="inlineStr">
        <is>
          <t>Gurugram</t>
        </is>
      </c>
      <c r="F171" t="inlineStr">
        <is>
          <t>Associate</t>
        </is>
      </c>
      <c r="G171" t="inlineStr">
        <is>
          <t>23 hours ago</t>
        </is>
      </c>
      <c r="H171">
        <f>HYPERLINK("https://in.linkedin.com/jobs/view/core-treasury-manager-at-aspire-4384236493", "Open Job")</f>
        <v/>
      </c>
      <c r="I171" t="inlineStr">
        <is>
          <t>2026-03-14 13:58</t>
        </is>
      </c>
    </row>
    <row r="172">
      <c r="A172" t="inlineStr">
        <is>
          <t>LinkedIn</t>
        </is>
      </c>
      <c r="B172" t="inlineStr">
        <is>
          <t>Lead Design Engineer Instrumentation &amp; Controls</t>
        </is>
      </c>
      <c r="C172" t="inlineStr">
        <is>
          <t>Siemens Energy</t>
        </is>
      </c>
      <c r="D172" t="inlineStr">
        <is>
          <t>Gurugram, Haryana, India</t>
        </is>
      </c>
      <c r="E172" t="inlineStr">
        <is>
          <t>Gurugram</t>
        </is>
      </c>
      <c r="F172" t="inlineStr">
        <is>
          <t>Associate</t>
        </is>
      </c>
      <c r="G172" t="inlineStr">
        <is>
          <t>20 hours ago</t>
        </is>
      </c>
      <c r="H172">
        <f>HYPERLINK("https://in.linkedin.com/jobs/view/lead-design-engineer-instrumentation-controls-at-siemens-energy-4374060036", "Open Job")</f>
        <v/>
      </c>
      <c r="I172" t="inlineStr">
        <is>
          <t>2026-03-14 13:58</t>
        </is>
      </c>
    </row>
    <row r="173">
      <c r="A173" t="inlineStr">
        <is>
          <t>LinkedIn</t>
        </is>
      </c>
      <c r="B173" t="inlineStr">
        <is>
          <t>Senior Specialist 2, Accounting</t>
        </is>
      </c>
      <c r="C173" t="inlineStr">
        <is>
          <t>MongoDB</t>
        </is>
      </c>
      <c r="D173" t="inlineStr">
        <is>
          <t>Gurugram, Haryana, India</t>
        </is>
      </c>
      <c r="E173" t="inlineStr">
        <is>
          <t>Gurugram</t>
        </is>
      </c>
      <c r="F173" t="inlineStr">
        <is>
          <t>Associate</t>
        </is>
      </c>
      <c r="G173" t="inlineStr">
        <is>
          <t>12 hours ago</t>
        </is>
      </c>
      <c r="H173">
        <f>HYPERLINK("https://in.linkedin.com/jobs/view/senior-specialist-2-accounting-at-mongodb-4385536280", "Open Job")</f>
        <v/>
      </c>
      <c r="I173" t="inlineStr">
        <is>
          <t>2026-03-14 13:58</t>
        </is>
      </c>
    </row>
    <row r="174">
      <c r="A174" t="inlineStr">
        <is>
          <t>LinkedIn</t>
        </is>
      </c>
      <c r="B174" t="inlineStr">
        <is>
          <t>Staff Engineer (Tech Architect - IC Role)</t>
        </is>
      </c>
      <c r="C174" t="inlineStr">
        <is>
          <t>Payoneer</t>
        </is>
      </c>
      <c r="D174" t="inlineStr">
        <is>
          <t>Gurugram, Haryana, India</t>
        </is>
      </c>
      <c r="E174" t="inlineStr">
        <is>
          <t>Gurugram</t>
        </is>
      </c>
      <c r="F174" t="inlineStr">
        <is>
          <t>Associate</t>
        </is>
      </c>
      <c r="G174" t="inlineStr">
        <is>
          <t>16 hours ago</t>
        </is>
      </c>
      <c r="H174">
        <f>HYPERLINK("https://in.linkedin.com/jobs/view/staff-engineer-tech-architect-ic-role-at-payoneer-4271026227", "Open Job")</f>
        <v/>
      </c>
      <c r="I174" t="inlineStr">
        <is>
          <t>2026-03-14 13:58</t>
        </is>
      </c>
    </row>
    <row r="175">
      <c r="A175" t="inlineStr">
        <is>
          <t>LinkedIn</t>
        </is>
      </c>
      <c r="B175" t="inlineStr">
        <is>
          <t>AI Animator</t>
        </is>
      </c>
      <c r="C175" t="inlineStr">
        <is>
          <t>Infosec Ventures</t>
        </is>
      </c>
      <c r="D175" t="inlineStr">
        <is>
          <t>Gurugram, Haryana, India</t>
        </is>
      </c>
      <c r="E175" t="inlineStr">
        <is>
          <t>Gurugram</t>
        </is>
      </c>
      <c r="F175" t="inlineStr">
        <is>
          <t>Associate</t>
        </is>
      </c>
      <c r="G175" t="inlineStr">
        <is>
          <t>17 hours ago</t>
        </is>
      </c>
      <c r="H175">
        <f>HYPERLINK("https://in.linkedin.com/jobs/view/ai-animator-at-infosec-ventures-4383132612", "Open Job")</f>
        <v/>
      </c>
      <c r="I175" t="inlineStr">
        <is>
          <t>2026-03-14 13:58</t>
        </is>
      </c>
    </row>
    <row r="176">
      <c r="A176" t="inlineStr">
        <is>
          <t>LinkedIn</t>
        </is>
      </c>
      <c r="B176" t="inlineStr">
        <is>
          <t>C++ Software Engineer</t>
        </is>
      </c>
      <c r="C176" t="inlineStr">
        <is>
          <t>Citadel Securities</t>
        </is>
      </c>
      <c r="D176" t="inlineStr">
        <is>
          <t>Gurugram, Haryana, India</t>
        </is>
      </c>
      <c r="E176" t="inlineStr">
        <is>
          <t>Gurugram</t>
        </is>
      </c>
      <c r="F176" t="inlineStr">
        <is>
          <t>Mid</t>
        </is>
      </c>
      <c r="G176" t="inlineStr">
        <is>
          <t>13 hours ago</t>
        </is>
      </c>
      <c r="H176">
        <f>HYPERLINK("https://in.linkedin.com/jobs/view/c%2B%2B-software-engineer-at-citadel-securities-4281719806", "Open Job")</f>
        <v/>
      </c>
      <c r="I176" t="inlineStr">
        <is>
          <t>2026-03-14 13:58</t>
        </is>
      </c>
    </row>
    <row r="177">
      <c r="A177" t="inlineStr">
        <is>
          <t>LinkedIn</t>
        </is>
      </c>
      <c r="B177" t="inlineStr">
        <is>
          <t>Java Developer</t>
        </is>
      </c>
      <c r="C177" t="inlineStr">
        <is>
          <t>Plan A Technologies</t>
        </is>
      </c>
      <c r="D177" t="inlineStr">
        <is>
          <t>Gurugram, Haryana, India</t>
        </is>
      </c>
      <c r="E177" t="inlineStr">
        <is>
          <t>Gurugram</t>
        </is>
      </c>
      <c r="F177" t="inlineStr">
        <is>
          <t>Mid</t>
        </is>
      </c>
      <c r="G177" t="inlineStr">
        <is>
          <t>16 hours ago</t>
        </is>
      </c>
      <c r="H177">
        <f>HYPERLINK("https://in.linkedin.com/jobs/view/java-developer-at-plan-a-technologies-4304044207", "Open Job")</f>
        <v/>
      </c>
      <c r="I177" t="inlineStr">
        <is>
          <t>2026-03-14 13:58</t>
        </is>
      </c>
    </row>
    <row r="178">
      <c r="A178" t="inlineStr">
        <is>
          <t>LinkedIn</t>
        </is>
      </c>
      <c r="B178" t="inlineStr">
        <is>
          <t>IoT(Internet of Things) Project Manager</t>
        </is>
      </c>
      <c r="C178" t="inlineStr">
        <is>
          <t>Weekday AI (YC W21)</t>
        </is>
      </c>
      <c r="D178" t="inlineStr">
        <is>
          <t>Gurugram, Haryana, India</t>
        </is>
      </c>
      <c r="E178" t="inlineStr">
        <is>
          <t>Gurugram</t>
        </is>
      </c>
      <c r="F178" t="inlineStr">
        <is>
          <t>Mid</t>
        </is>
      </c>
      <c r="G178" t="inlineStr">
        <is>
          <t>20 hours ago</t>
        </is>
      </c>
      <c r="H178">
        <f>HYPERLINK("https://in.linkedin.com/jobs/view/iot-internet-of-things-project-manager-at-weekday-ai-yc-w21-4385337712", "Open Job")</f>
        <v/>
      </c>
      <c r="I178" t="inlineStr">
        <is>
          <t>2026-03-14 13:58</t>
        </is>
      </c>
    </row>
    <row r="179">
      <c r="A179" t="inlineStr">
        <is>
          <t>LinkedIn</t>
        </is>
      </c>
      <c r="B179" t="inlineStr">
        <is>
          <t>Software Engineer (Data Analyst - Performance Engineering)</t>
        </is>
      </c>
      <c r="C179" t="inlineStr">
        <is>
          <t>Anaplan</t>
        </is>
      </c>
      <c r="D179" t="inlineStr">
        <is>
          <t>Gurugram, Haryana, India</t>
        </is>
      </c>
      <c r="E179" t="inlineStr">
        <is>
          <t>Gurugram</t>
        </is>
      </c>
      <c r="F179" t="inlineStr">
        <is>
          <t>Mid</t>
        </is>
      </c>
      <c r="G179" t="inlineStr">
        <is>
          <t>18 minutes ago</t>
        </is>
      </c>
      <c r="H179">
        <f>HYPERLINK("https://in.linkedin.com/jobs/view/software-engineer-data-analyst-performance-engineering-at-anaplan-4383187622", "Open Job")</f>
        <v/>
      </c>
      <c r="I179" t="inlineStr">
        <is>
          <t>2026-03-14 13:58</t>
        </is>
      </c>
    </row>
    <row r="180">
      <c r="A180" t="inlineStr">
        <is>
          <t>LinkedIn</t>
        </is>
      </c>
      <c r="B180" t="inlineStr">
        <is>
          <t>Software Development Engineer, Creative X</t>
        </is>
      </c>
      <c r="C180" t="inlineStr">
        <is>
          <t>Amazon</t>
        </is>
      </c>
      <c r="D180" t="inlineStr">
        <is>
          <t>Gurugram, Haryana, India</t>
        </is>
      </c>
      <c r="E180" t="inlineStr">
        <is>
          <t>Gurugram</t>
        </is>
      </c>
      <c r="F180" t="inlineStr">
        <is>
          <t>Mid</t>
        </is>
      </c>
      <c r="G180" t="inlineStr">
        <is>
          <t>15 hours ago</t>
        </is>
      </c>
      <c r="H180">
        <f>HYPERLINK("https://in.linkedin.com/jobs/view/software-development-engineer-creative-x-at-amazon-4385342921", "Open Job")</f>
        <v/>
      </c>
      <c r="I180" t="inlineStr">
        <is>
          <t>2026-03-14 13:58</t>
        </is>
      </c>
    </row>
    <row r="181">
      <c r="A181" t="inlineStr">
        <is>
          <t>LinkedIn</t>
        </is>
      </c>
      <c r="B181" t="inlineStr">
        <is>
          <t>Information Technology Support Officer</t>
        </is>
      </c>
      <c r="C181" t="inlineStr">
        <is>
          <t>Queen Elizabeth’s School, Gurugram</t>
        </is>
      </c>
      <c r="D181" t="inlineStr">
        <is>
          <t>Gurugram, Haryana, India</t>
        </is>
      </c>
      <c r="E181" t="inlineStr">
        <is>
          <t>Gurugram</t>
        </is>
      </c>
      <c r="F181" t="inlineStr">
        <is>
          <t>Mid</t>
        </is>
      </c>
      <c r="G181" t="inlineStr">
        <is>
          <t>13 hours ago</t>
        </is>
      </c>
      <c r="H181">
        <f>HYPERLINK("https://in.linkedin.com/jobs/view/information-technology-support-officer-at-queen-elizabeth%E2%80%99s-school-gurugram-4385516938", "Open Job")</f>
        <v/>
      </c>
      <c r="I181" t="inlineStr">
        <is>
          <t>2026-03-14 13:58</t>
        </is>
      </c>
    </row>
    <row r="182">
      <c r="A182" t="inlineStr">
        <is>
          <t>LinkedIn</t>
        </is>
      </c>
      <c r="B182" t="inlineStr">
        <is>
          <t>Full Stack Software Engineer</t>
        </is>
      </c>
      <c r="C182" t="inlineStr">
        <is>
          <t>Anamika Consulting</t>
        </is>
      </c>
      <c r="D182" t="inlineStr">
        <is>
          <t>Gurugram, Haryana, India</t>
        </is>
      </c>
      <c r="E182" t="inlineStr">
        <is>
          <t>Gurugram</t>
        </is>
      </c>
      <c r="F182" t="inlineStr">
        <is>
          <t>Mid</t>
        </is>
      </c>
      <c r="G182" t="inlineStr">
        <is>
          <t>7 hours ago</t>
        </is>
      </c>
      <c r="H182">
        <f>HYPERLINK("https://in.linkedin.com/jobs/view/full-stack-software-engineer-at-anamika-consulting-4385573882", "Open Job")</f>
        <v/>
      </c>
      <c r="I182" t="inlineStr">
        <is>
          <t>2026-03-14 13:58</t>
        </is>
      </c>
    </row>
    <row r="183">
      <c r="A183" t="inlineStr">
        <is>
          <t>LinkedIn</t>
        </is>
      </c>
      <c r="B183" t="inlineStr">
        <is>
          <t>Application Developer</t>
        </is>
      </c>
      <c r="C183" t="inlineStr">
        <is>
          <t>apexanalytix</t>
        </is>
      </c>
      <c r="D183" t="inlineStr">
        <is>
          <t>Gurugram, Haryana, India</t>
        </is>
      </c>
      <c r="E183" t="inlineStr">
        <is>
          <t>Gurugram</t>
        </is>
      </c>
      <c r="F183" t="inlineStr">
        <is>
          <t>Mid</t>
        </is>
      </c>
      <c r="G183" t="inlineStr">
        <is>
          <t>18 hours ago</t>
        </is>
      </c>
      <c r="H183">
        <f>HYPERLINK("https://in.linkedin.com/jobs/view/application-developer-at-apexanalytix-4304096544", "Open Job")</f>
        <v/>
      </c>
      <c r="I183" t="inlineStr">
        <is>
          <t>2026-03-14 13:58</t>
        </is>
      </c>
    </row>
    <row r="184">
      <c r="A184" t="inlineStr">
        <is>
          <t>LinkedIn</t>
        </is>
      </c>
      <c r="B184" t="inlineStr">
        <is>
          <t>Business Analytics &amp; AI</t>
        </is>
      </c>
      <c r="C184" t="inlineStr">
        <is>
          <t>People Hire Consulting</t>
        </is>
      </c>
      <c r="D184" t="inlineStr">
        <is>
          <t>Gurugram, Haryana, India</t>
        </is>
      </c>
      <c r="E184" t="inlineStr">
        <is>
          <t>Gurugram</t>
        </is>
      </c>
      <c r="F184" t="inlineStr">
        <is>
          <t>Mid</t>
        </is>
      </c>
      <c r="G184" t="inlineStr">
        <is>
          <t>17 hours ago</t>
        </is>
      </c>
      <c r="H184">
        <f>HYPERLINK("https://in.linkedin.com/jobs/view/business-analytics-ai-at-people-hire-consulting-4383131233", "Open Job")</f>
        <v/>
      </c>
      <c r="I184" t="inlineStr">
        <is>
          <t>2026-03-14 13:58</t>
        </is>
      </c>
    </row>
    <row r="185">
      <c r="A185" t="inlineStr">
        <is>
          <t>LinkedIn</t>
        </is>
      </c>
      <c r="B185" t="inlineStr">
        <is>
          <t>Full Stack Developer</t>
        </is>
      </c>
      <c r="C185" t="inlineStr">
        <is>
          <t>Neura AI by Wundrsight Health</t>
        </is>
      </c>
      <c r="D185" t="inlineStr">
        <is>
          <t>Gurugram, Haryana, India</t>
        </is>
      </c>
      <c r="E185" t="inlineStr">
        <is>
          <t>Gurugram</t>
        </is>
      </c>
      <c r="F185" t="inlineStr">
        <is>
          <t>Mid</t>
        </is>
      </c>
      <c r="G185" t="inlineStr">
        <is>
          <t>13 minutes ago</t>
        </is>
      </c>
      <c r="H185">
        <f>HYPERLINK("https://in.linkedin.com/jobs/view/full-stack-developer-at-neura-ai-by-wundrsight-health-4384648280", "Open Job")</f>
        <v/>
      </c>
      <c r="I185" t="inlineStr">
        <is>
          <t>2026-03-14 13:58</t>
        </is>
      </c>
    </row>
    <row r="186">
      <c r="A186" t="inlineStr">
        <is>
          <t>LinkedIn</t>
        </is>
      </c>
      <c r="B186" t="inlineStr">
        <is>
          <t>Sales Manager</t>
        </is>
      </c>
      <c r="C186" t="inlineStr">
        <is>
          <t>Aditya Birla Sun Life Insurance</t>
        </is>
      </c>
      <c r="D186" t="inlineStr">
        <is>
          <t>Gurugram, Haryana, India</t>
        </is>
      </c>
      <c r="E186" t="inlineStr">
        <is>
          <t>Gurugram</t>
        </is>
      </c>
      <c r="F186" t="inlineStr">
        <is>
          <t>Mid</t>
        </is>
      </c>
      <c r="G186" t="inlineStr">
        <is>
          <t>1 hour ago</t>
        </is>
      </c>
      <c r="H186">
        <f>HYPERLINK("https://in.linkedin.com/jobs/view/sales-manager-at-aditya-birla-sun-life-insurance-4380691772", "Open Job")</f>
        <v/>
      </c>
      <c r="I186" t="inlineStr">
        <is>
          <t>2026-03-14 13:58</t>
        </is>
      </c>
    </row>
    <row r="187">
      <c r="A187" t="inlineStr">
        <is>
          <t>LinkedIn</t>
        </is>
      </c>
      <c r="B187" t="inlineStr">
        <is>
          <t>Lead R&amp;D Tech</t>
        </is>
      </c>
      <c r="C187" t="inlineStr">
        <is>
          <t>Honeywell</t>
        </is>
      </c>
      <c r="D187" t="inlineStr">
        <is>
          <t>Gurugram, Haryana, India</t>
        </is>
      </c>
      <c r="E187" t="inlineStr">
        <is>
          <t>Gurugram</t>
        </is>
      </c>
      <c r="F187" t="inlineStr">
        <is>
          <t>Mid</t>
        </is>
      </c>
      <c r="G187" t="inlineStr">
        <is>
          <t>15 hours ago</t>
        </is>
      </c>
      <c r="H187">
        <f>HYPERLINK("https://in.linkedin.com/jobs/view/lead-r-d-tech-at-honeywell-4339283802", "Open Job")</f>
        <v/>
      </c>
      <c r="I187" t="inlineStr">
        <is>
          <t>2026-03-14 13:58</t>
        </is>
      </c>
    </row>
    <row r="188">
      <c r="A188" t="inlineStr">
        <is>
          <t>LinkedIn</t>
        </is>
      </c>
      <c r="B188" t="inlineStr">
        <is>
          <t>Manager-Product Development-Product Development</t>
        </is>
      </c>
      <c r="C188" t="inlineStr">
        <is>
          <t>EXL</t>
        </is>
      </c>
      <c r="D188" t="inlineStr">
        <is>
          <t>Gurugram, Haryana, India</t>
        </is>
      </c>
      <c r="E188" t="inlineStr">
        <is>
          <t>Gurugram</t>
        </is>
      </c>
      <c r="F188" t="inlineStr">
        <is>
          <t>Mid</t>
        </is>
      </c>
      <c r="G188" t="inlineStr">
        <is>
          <t>19 hours ago</t>
        </is>
      </c>
      <c r="H188">
        <f>HYPERLINK("https://in.linkedin.com/jobs/view/manager-product-development-product-development-at-exl-4338957223", "Open Job")</f>
        <v/>
      </c>
      <c r="I188" t="inlineStr">
        <is>
          <t>2026-03-14 13:58</t>
        </is>
      </c>
    </row>
    <row r="189">
      <c r="A189" t="inlineStr">
        <is>
          <t>LinkedIn</t>
        </is>
      </c>
      <c r="B189" t="inlineStr">
        <is>
          <t>Java And Pyspark Developer</t>
        </is>
      </c>
      <c r="C189" t="inlineStr">
        <is>
          <t>NatWest Group</t>
        </is>
      </c>
      <c r="D189" t="inlineStr">
        <is>
          <t>Gurugram, Haryana, India</t>
        </is>
      </c>
      <c r="E189" t="inlineStr">
        <is>
          <t>Gurugram</t>
        </is>
      </c>
      <c r="F189" t="inlineStr">
        <is>
          <t>Mid</t>
        </is>
      </c>
      <c r="G189" t="inlineStr">
        <is>
          <t>18 hours ago</t>
        </is>
      </c>
      <c r="H189">
        <f>HYPERLINK("https://in.linkedin.com/jobs/view/java-and-pyspark-developer-at-natwest-group-4385368444", "Open Job")</f>
        <v/>
      </c>
      <c r="I189" t="inlineStr">
        <is>
          <t>2026-03-14 13:58</t>
        </is>
      </c>
    </row>
    <row r="190">
      <c r="A190" t="inlineStr">
        <is>
          <t>LinkedIn</t>
        </is>
      </c>
      <c r="B190" t="inlineStr">
        <is>
          <t>IN-Senior Associate-FT,P2P,RTR-FE-Advisory-Gurgaon</t>
        </is>
      </c>
      <c r="C190" t="inlineStr">
        <is>
          <t>PwC India</t>
        </is>
      </c>
      <c r="D190" t="inlineStr">
        <is>
          <t>Gurugram, Haryana, India</t>
        </is>
      </c>
      <c r="E190" t="inlineStr">
        <is>
          <t>Gurugram</t>
        </is>
      </c>
      <c r="F190" t="inlineStr">
        <is>
          <t>Mid</t>
        </is>
      </c>
      <c r="G190" t="inlineStr">
        <is>
          <t>17 hours ago</t>
        </is>
      </c>
      <c r="H190">
        <f>HYPERLINK("https://in.linkedin.com/jobs/view/in-senior-associate-ft-p2p-rtr-fe-advisory-gurgaon-at-pwc-india-4371863119", "Open Job")</f>
        <v/>
      </c>
      <c r="I190" t="inlineStr">
        <is>
          <t>2026-03-14 13:58</t>
        </is>
      </c>
    </row>
    <row r="191">
      <c r="A191" t="inlineStr">
        <is>
          <t>LinkedIn</t>
        </is>
      </c>
      <c r="B191" t="inlineStr">
        <is>
          <t>Senior Associate, Billing</t>
        </is>
      </c>
      <c r="C191" t="inlineStr">
        <is>
          <t>MongoDB</t>
        </is>
      </c>
      <c r="D191" t="inlineStr">
        <is>
          <t>Gurugram, Haryana, India</t>
        </is>
      </c>
      <c r="E191" t="inlineStr">
        <is>
          <t>Gurugram</t>
        </is>
      </c>
      <c r="F191" t="inlineStr">
        <is>
          <t>Mid</t>
        </is>
      </c>
      <c r="G191" t="inlineStr">
        <is>
          <t>13 hours ago</t>
        </is>
      </c>
      <c r="H191">
        <f>HYPERLINK("https://in.linkedin.com/jobs/view/senior-associate-billing-at-mongodb-4367155245", "Open Job")</f>
        <v/>
      </c>
      <c r="I191" t="inlineStr">
        <is>
          <t>2026-03-14 13:58</t>
        </is>
      </c>
    </row>
    <row r="192">
      <c r="A192" t="inlineStr">
        <is>
          <t>LinkedIn</t>
        </is>
      </c>
      <c r="B192" t="inlineStr">
        <is>
          <t>Staff Software Engineer</t>
        </is>
      </c>
      <c r="C192" t="inlineStr">
        <is>
          <t>DISCO</t>
        </is>
      </c>
      <c r="D192" t="inlineStr">
        <is>
          <t>Gurugram, Haryana, India</t>
        </is>
      </c>
      <c r="E192" t="inlineStr">
        <is>
          <t>Gurugram</t>
        </is>
      </c>
      <c r="F192" t="inlineStr">
        <is>
          <t>Mid</t>
        </is>
      </c>
      <c r="G192" t="inlineStr">
        <is>
          <t>20 hours ago</t>
        </is>
      </c>
      <c r="H192">
        <f>HYPERLINK("https://in.linkedin.com/jobs/view/staff-software-engineer-at-disco-4320469700", "Open Job")</f>
        <v/>
      </c>
      <c r="I192" t="inlineStr">
        <is>
          <t>2026-03-14 13:58</t>
        </is>
      </c>
    </row>
    <row r="193">
      <c r="A193" t="inlineStr">
        <is>
          <t>LinkedIn</t>
        </is>
      </c>
      <c r="B193" t="inlineStr">
        <is>
          <t>Senior Project Manager (OTT)</t>
        </is>
      </c>
      <c r="C193" t="inlineStr">
        <is>
          <t>NexGen Tech Solutions</t>
        </is>
      </c>
      <c r="D193" t="inlineStr">
        <is>
          <t>Gurugram, Haryana, India</t>
        </is>
      </c>
      <c r="E193" t="inlineStr">
        <is>
          <t>Gurugram</t>
        </is>
      </c>
      <c r="F193" t="inlineStr">
        <is>
          <t>Mid</t>
        </is>
      </c>
      <c r="G193" t="inlineStr">
        <is>
          <t>19 hours ago</t>
        </is>
      </c>
      <c r="H193">
        <f>HYPERLINK("https://in.linkedin.com/jobs/view/senior-project-manager-ott-at-nexgen-tech-solutions-4385346742", "Open Job")</f>
        <v/>
      </c>
      <c r="I193" t="inlineStr">
        <is>
          <t>2026-03-14 13:58</t>
        </is>
      </c>
    </row>
    <row r="194">
      <c r="A194" t="inlineStr">
        <is>
          <t>LinkedIn</t>
        </is>
      </c>
      <c r="B194" t="inlineStr">
        <is>
          <t>Senior Project Manager (Remote)</t>
        </is>
      </c>
      <c r="C194" t="inlineStr">
        <is>
          <t>BigStep Technologies</t>
        </is>
      </c>
      <c r="D194" t="inlineStr">
        <is>
          <t>Gurugram, Haryana, India</t>
        </is>
      </c>
      <c r="E194" t="inlineStr">
        <is>
          <t>Gurugram</t>
        </is>
      </c>
      <c r="F194" t="inlineStr">
        <is>
          <t>Mid</t>
        </is>
      </c>
      <c r="G194" t="inlineStr">
        <is>
          <t>7 hours ago</t>
        </is>
      </c>
      <c r="H194">
        <f>HYPERLINK("https://in.linkedin.com/jobs/view/senior-project-manager-remote-at-bigstep-technologies-4384610680", "Open Job")</f>
        <v/>
      </c>
      <c r="I194" t="inlineStr">
        <is>
          <t>2026-03-14 13:58</t>
        </is>
      </c>
    </row>
    <row r="195">
      <c r="A195" t="inlineStr">
        <is>
          <t>LinkedIn</t>
        </is>
      </c>
      <c r="B195" t="inlineStr">
        <is>
          <t>AI Developer - Engagement Manager</t>
        </is>
      </c>
      <c r="C195" t="inlineStr">
        <is>
          <t>EXL</t>
        </is>
      </c>
      <c r="D195" t="inlineStr">
        <is>
          <t>Gurugram, Haryana, India</t>
        </is>
      </c>
      <c r="E195" t="inlineStr">
        <is>
          <t>Gurugram</t>
        </is>
      </c>
      <c r="F195" t="inlineStr">
        <is>
          <t>Mid</t>
        </is>
      </c>
      <c r="G195" t="inlineStr">
        <is>
          <t>20 hours ago</t>
        </is>
      </c>
      <c r="H195">
        <f>HYPERLINK("https://in.linkedin.com/jobs/view/ai-developer-engagement-manager-at-exl-4383093859", "Open Job")</f>
        <v/>
      </c>
      <c r="I195" t="inlineStr">
        <is>
          <t>2026-03-14 13:58</t>
        </is>
      </c>
    </row>
    <row r="196">
      <c r="A196" t="inlineStr">
        <is>
          <t>LinkedIn</t>
        </is>
      </c>
      <c r="B196" t="inlineStr">
        <is>
          <t>FINANCE EXECUTIVE - ACCOUNTS PAYABLE</t>
        </is>
      </c>
      <c r="C196" t="inlineStr">
        <is>
          <t>IBIS</t>
        </is>
      </c>
      <c r="D196" t="inlineStr">
        <is>
          <t>Gurugram, Haryana, India</t>
        </is>
      </c>
      <c r="E196" t="inlineStr">
        <is>
          <t>Gurugram</t>
        </is>
      </c>
      <c r="F196" t="inlineStr">
        <is>
          <t>Seniority level Not Applicable</t>
        </is>
      </c>
      <c r="G196" t="inlineStr">
        <is>
          <t>17 hours ago</t>
        </is>
      </c>
      <c r="H196">
        <f>HYPERLINK("https://in.linkedin.com/jobs/view/finance-executive-accounts-payable-at-ibis-4383134494", "Open Job")</f>
        <v/>
      </c>
      <c r="I196" t="inlineStr">
        <is>
          <t>2026-03-14 13:58</t>
        </is>
      </c>
    </row>
    <row r="197">
      <c r="A197" t="inlineStr">
        <is>
          <t>LinkedIn</t>
        </is>
      </c>
      <c r="B197" t="inlineStr">
        <is>
          <t>Customer Success Associate, BRE</t>
        </is>
      </c>
      <c r="C197" t="inlineStr">
        <is>
          <t>Better</t>
        </is>
      </c>
      <c r="D197" t="inlineStr">
        <is>
          <t>Gurugram, Haryana, India</t>
        </is>
      </c>
      <c r="E197" t="inlineStr">
        <is>
          <t>Gurugram</t>
        </is>
      </c>
      <c r="F197" t="inlineStr">
        <is>
          <t>Seniority level Not Applicable</t>
        </is>
      </c>
      <c r="G197" t="inlineStr">
        <is>
          <t>21 hours ago</t>
        </is>
      </c>
      <c r="H197">
        <f>HYPERLINK("https://in.linkedin.com/jobs/view/customer-success-associate-bre-at-better-4367193054", "Open Job")</f>
        <v/>
      </c>
      <c r="I197" t="inlineStr">
        <is>
          <t>2026-03-14 13:58</t>
        </is>
      </c>
    </row>
    <row r="198">
      <c r="A198" t="inlineStr">
        <is>
          <t>LinkedIn</t>
        </is>
      </c>
      <c r="B198" t="inlineStr">
        <is>
          <t>Vice President of Engineering</t>
        </is>
      </c>
      <c r="C198" t="inlineStr">
        <is>
          <t>Meritto</t>
        </is>
      </c>
      <c r="D198" t="inlineStr">
        <is>
          <t>Gurugram, Haryana, India</t>
        </is>
      </c>
      <c r="E198" t="inlineStr">
        <is>
          <t>Gurugram</t>
        </is>
      </c>
      <c r="F198" t="inlineStr">
        <is>
          <t>Seniority level Not Applicable</t>
        </is>
      </c>
      <c r="G198" t="inlineStr">
        <is>
          <t>17 hours ago</t>
        </is>
      </c>
      <c r="H198">
        <f>HYPERLINK("https://in.linkedin.com/jobs/view/vice-president-of-engineering-at-meritto-4385380235", "Open Job")</f>
        <v/>
      </c>
      <c r="I198" t="inlineStr">
        <is>
          <t>2026-03-14 13:58</t>
        </is>
      </c>
    </row>
    <row r="199">
      <c r="A199" t="inlineStr">
        <is>
          <t>LinkedIn</t>
        </is>
      </c>
      <c r="B199" t="inlineStr">
        <is>
          <t>Apprentice, Operations</t>
        </is>
      </c>
      <c r="C199" t="inlineStr">
        <is>
          <t>Colt Technology Services</t>
        </is>
      </c>
      <c r="D199" t="inlineStr">
        <is>
          <t>Gurugram, Haryana, India</t>
        </is>
      </c>
      <c r="E199" t="inlineStr">
        <is>
          <t>Gurugram</t>
        </is>
      </c>
      <c r="F199" t="inlineStr">
        <is>
          <t>Seniority level Not Applicable</t>
        </is>
      </c>
      <c r="G199" t="inlineStr">
        <is>
          <t>18 hours ago</t>
        </is>
      </c>
      <c r="H199">
        <f>HYPERLINK("https://in.linkedin.com/jobs/view/apprentice-operations-at-colt-technology-services-4384257558", "Open Job")</f>
        <v/>
      </c>
      <c r="I199" t="inlineStr">
        <is>
          <t>2026-03-14 13:58</t>
        </is>
      </c>
    </row>
    <row r="200">
      <c r="A200" t="inlineStr">
        <is>
          <t>LinkedIn</t>
        </is>
      </c>
      <c r="B200" t="inlineStr">
        <is>
          <t>Associate Product Consultant</t>
        </is>
      </c>
      <c r="C200" t="inlineStr">
        <is>
          <t>Cvent</t>
        </is>
      </c>
      <c r="D200" t="inlineStr">
        <is>
          <t>Gurugram, Haryana, India</t>
        </is>
      </c>
      <c r="E200" t="inlineStr">
        <is>
          <t>Gurugram</t>
        </is>
      </c>
      <c r="F200" t="inlineStr">
        <is>
          <t>Seniority level Not Applicable</t>
        </is>
      </c>
      <c r="G200" t="inlineStr">
        <is>
          <t>19 hours ago</t>
        </is>
      </c>
      <c r="H200">
        <f>HYPERLINK("https://in.linkedin.com/jobs/view/associate-product-consultant-at-cvent-4385362038", "Open Job")</f>
        <v/>
      </c>
      <c r="I200" t="inlineStr">
        <is>
          <t>2026-03-14 13:58</t>
        </is>
      </c>
    </row>
    <row r="201">
      <c r="A201" t="inlineStr">
        <is>
          <t>LinkedIn</t>
        </is>
      </c>
      <c r="B201" t="inlineStr">
        <is>
          <t>Sr Mgr - IT Appl Development</t>
        </is>
      </c>
      <c r="C201" t="inlineStr">
        <is>
          <t>United Airlines</t>
        </is>
      </c>
      <c r="D201" t="inlineStr">
        <is>
          <t>Gurugram, Haryana, India</t>
        </is>
      </c>
      <c r="E201" t="inlineStr">
        <is>
          <t>Gurugram</t>
        </is>
      </c>
      <c r="F201" t="inlineStr">
        <is>
          <t>Seniority level Not Applicable</t>
        </is>
      </c>
      <c r="G201" t="inlineStr">
        <is>
          <t>17 hours ago</t>
        </is>
      </c>
      <c r="H201">
        <f>HYPERLINK("https://in.linkedin.com/jobs/view/sr-mgr-it-appl-development-at-united-airlines-4339028938", "Open Job")</f>
        <v/>
      </c>
      <c r="I201" t="inlineStr">
        <is>
          <t>2026-03-14 13:58</t>
        </is>
      </c>
    </row>
    <row r="202">
      <c r="A202" t="inlineStr">
        <is>
          <t>LinkedIn</t>
        </is>
      </c>
      <c r="B202" t="inlineStr">
        <is>
          <t>Group Head - Paid media</t>
        </is>
      </c>
      <c r="C202" t="inlineStr">
        <is>
          <t>Social Beat</t>
        </is>
      </c>
      <c r="D202" t="inlineStr">
        <is>
          <t>Gurugram, Haryana, India</t>
        </is>
      </c>
      <c r="E202" t="inlineStr">
        <is>
          <t>Gurugram</t>
        </is>
      </c>
      <c r="F202" t="inlineStr">
        <is>
          <t>Seniority level Not Applicable</t>
        </is>
      </c>
      <c r="G202" t="inlineStr">
        <is>
          <t>21 hours ago</t>
        </is>
      </c>
      <c r="H202">
        <f>HYPERLINK("https://in.linkedin.com/jobs/view/group-head-paid-media-at-social-beat-4385331629", "Open Job")</f>
        <v/>
      </c>
      <c r="I202" t="inlineStr">
        <is>
          <t>2026-03-14 13:58</t>
        </is>
      </c>
    </row>
    <row r="203">
      <c r="A203" t="inlineStr">
        <is>
          <t>LinkedIn</t>
        </is>
      </c>
      <c r="B203" t="inlineStr">
        <is>
          <t>Software Engineer, Java, AVP</t>
        </is>
      </c>
      <c r="C203" t="inlineStr">
        <is>
          <t>NatWest Group</t>
        </is>
      </c>
      <c r="D203" t="inlineStr">
        <is>
          <t>Gurugram, Haryana, India</t>
        </is>
      </c>
      <c r="E203" t="inlineStr">
        <is>
          <t>Gurugram</t>
        </is>
      </c>
      <c r="F203" t="inlineStr">
        <is>
          <t>Seniority level Not Applicable</t>
        </is>
      </c>
      <c r="G203" t="inlineStr">
        <is>
          <t>18 hours ago</t>
        </is>
      </c>
      <c r="H203">
        <f>HYPERLINK("https://in.linkedin.com/jobs/view/software-engineer-java-avp-at-natwest-group-4385366474", "Open Job")</f>
        <v/>
      </c>
      <c r="I203" t="inlineStr">
        <is>
          <t>2026-03-14 13:58</t>
        </is>
      </c>
    </row>
    <row r="204">
      <c r="A204" t="inlineStr">
        <is>
          <t>LinkedIn</t>
        </is>
      </c>
      <c r="B204" t="inlineStr">
        <is>
          <t>Software Engineer- iOS</t>
        </is>
      </c>
      <c r="C204" t="inlineStr">
        <is>
          <t>Zimyo</t>
        </is>
      </c>
      <c r="D204" t="inlineStr">
        <is>
          <t>Gurugram, Haryana, India</t>
        </is>
      </c>
      <c r="E204" t="inlineStr">
        <is>
          <t>Gurugram</t>
        </is>
      </c>
      <c r="F204" t="inlineStr">
        <is>
          <t>Seniority level Not Applicable</t>
        </is>
      </c>
      <c r="G204" t="inlineStr">
        <is>
          <t>18 hours ago</t>
        </is>
      </c>
      <c r="H204">
        <f>HYPERLINK("https://in.linkedin.com/jobs/view/software-engineer-ios-at-zimyo-4385367266", "Open Job")</f>
        <v/>
      </c>
      <c r="I204" t="inlineStr">
        <is>
          <t>2026-03-14 13:58</t>
        </is>
      </c>
    </row>
    <row r="205">
      <c r="A205" t="inlineStr">
        <is>
          <t>LinkedIn</t>
        </is>
      </c>
      <c r="B205" t="inlineStr">
        <is>
          <t>SQL Developer (Senior)</t>
        </is>
      </c>
      <c r="C205" t="inlineStr">
        <is>
          <t>Infogain</t>
        </is>
      </c>
      <c r="D205" t="inlineStr">
        <is>
          <t>Gurugram, Haryana, India</t>
        </is>
      </c>
      <c r="E205" t="inlineStr">
        <is>
          <t>Gurugram</t>
        </is>
      </c>
      <c r="F205" t="inlineStr">
        <is>
          <t>Seniority level Not Applicable</t>
        </is>
      </c>
      <c r="G205" t="inlineStr">
        <is>
          <t>20 hours ago</t>
        </is>
      </c>
      <c r="H205">
        <f>HYPERLINK("https://in.linkedin.com/jobs/view/sql-developer-senior-at-infogain-4353931328", "Open Job")</f>
        <v/>
      </c>
      <c r="I205" t="inlineStr">
        <is>
          <t>2026-03-14 13:58</t>
        </is>
      </c>
    </row>
    <row r="206">
      <c r="A206" t="inlineStr">
        <is>
          <t>LinkedIn</t>
        </is>
      </c>
      <c r="B206" t="inlineStr">
        <is>
          <t>Product Consultant</t>
        </is>
      </c>
      <c r="C206" t="inlineStr">
        <is>
          <t>Cvent</t>
        </is>
      </c>
      <c r="D206" t="inlineStr">
        <is>
          <t>Gurugram, Haryana, India</t>
        </is>
      </c>
      <c r="E206" t="inlineStr">
        <is>
          <t>Gurugram</t>
        </is>
      </c>
      <c r="F206" t="inlineStr">
        <is>
          <t>Seniority level Not Applicable</t>
        </is>
      </c>
      <c r="G206" t="inlineStr">
        <is>
          <t>23 hours ago</t>
        </is>
      </c>
      <c r="H206">
        <f>HYPERLINK("https://in.linkedin.com/jobs/view/product-consultant-at-cvent-4384248013", "Open Job")</f>
        <v/>
      </c>
      <c r="I206" t="inlineStr">
        <is>
          <t>2026-03-14 13:58</t>
        </is>
      </c>
    </row>
    <row r="207">
      <c r="A207" t="inlineStr">
        <is>
          <t>LinkedIn</t>
        </is>
      </c>
      <c r="B207" t="inlineStr">
        <is>
          <t>Senior Software Engineer</t>
        </is>
      </c>
      <c r="C207" t="inlineStr">
        <is>
          <t>SHL</t>
        </is>
      </c>
      <c r="D207" t="inlineStr">
        <is>
          <t>Gurugram, Haryana, India</t>
        </is>
      </c>
      <c r="E207" t="inlineStr">
        <is>
          <t>Gurugram</t>
        </is>
      </c>
      <c r="F207" t="inlineStr">
        <is>
          <t>Seniority level Not Applicable</t>
        </is>
      </c>
      <c r="G207" t="inlineStr">
        <is>
          <t>21 hours ago</t>
        </is>
      </c>
      <c r="H207">
        <f>HYPERLINK("https://in.linkedin.com/jobs/view/senior-software-engineer-at-shl-4384243648", "Open Job")</f>
        <v/>
      </c>
      <c r="I207" t="inlineStr">
        <is>
          <t>2026-03-14 13:58</t>
        </is>
      </c>
    </row>
    <row r="208">
      <c r="A208" t="inlineStr">
        <is>
          <t>LinkedIn</t>
        </is>
      </c>
      <c r="B208" t="inlineStr">
        <is>
          <t>Financial Controller(F&amp;A)_NBFC/Lending/ CA</t>
        </is>
      </c>
      <c r="C208" t="inlineStr">
        <is>
          <t>Hireginie</t>
        </is>
      </c>
      <c r="D208" t="inlineStr">
        <is>
          <t>Gurugram, Haryana, India</t>
        </is>
      </c>
      <c r="E208" t="inlineStr">
        <is>
          <t>Gurugram</t>
        </is>
      </c>
      <c r="F208" t="inlineStr">
        <is>
          <t>Seniority level Not Applicable</t>
        </is>
      </c>
      <c r="G208" t="inlineStr">
        <is>
          <t>18 hours ago</t>
        </is>
      </c>
      <c r="H208">
        <f>HYPERLINK("https://in.linkedin.com/jobs/view/financial-controller-f-a-nbfc-lending-ca-at-hireginie-4383113454", "Open Job")</f>
        <v/>
      </c>
      <c r="I208" t="inlineStr">
        <is>
          <t>2026-03-14 13:58</t>
        </is>
      </c>
    </row>
    <row r="209">
      <c r="A209" t="inlineStr">
        <is>
          <t>LinkedIn</t>
        </is>
      </c>
      <c r="B209" t="inlineStr">
        <is>
          <t>Principal Software Engineer - India</t>
        </is>
      </c>
      <c r="C209" t="inlineStr">
        <is>
          <t>DISCO</t>
        </is>
      </c>
      <c r="D209" t="inlineStr">
        <is>
          <t>Gurugram, Haryana, India</t>
        </is>
      </c>
      <c r="E209" t="inlineStr">
        <is>
          <t>Gurugram</t>
        </is>
      </c>
      <c r="F209" t="inlineStr">
        <is>
          <t>Seniority level Not Applicable</t>
        </is>
      </c>
      <c r="G209" t="inlineStr">
        <is>
          <t>19 hours ago</t>
        </is>
      </c>
      <c r="H209">
        <f>HYPERLINK("https://in.linkedin.com/jobs/view/principal-software-engineer-india-at-disco-4314292135", "Open Job")</f>
        <v/>
      </c>
      <c r="I209" t="inlineStr">
        <is>
          <t>2026-03-14 13:58</t>
        </is>
      </c>
    </row>
    <row r="210">
      <c r="A210" t="inlineStr">
        <is>
          <t>LinkedIn</t>
        </is>
      </c>
      <c r="B210" t="inlineStr">
        <is>
          <t>Senior Corporate Accountant</t>
        </is>
      </c>
      <c r="C210" t="inlineStr">
        <is>
          <t>Xshore</t>
        </is>
      </c>
      <c r="D210" t="inlineStr">
        <is>
          <t>Gurugram, Haryana, India</t>
        </is>
      </c>
      <c r="E210" t="inlineStr">
        <is>
          <t>Gurugram</t>
        </is>
      </c>
      <c r="F210" t="inlineStr">
        <is>
          <t>Seniority level Not Applicable</t>
        </is>
      </c>
      <c r="G210" t="inlineStr">
        <is>
          <t>20 hours ago</t>
        </is>
      </c>
      <c r="H210">
        <f>HYPERLINK("https://in.linkedin.com/jobs/view/senior-corporate-accountant-at-xshore-4384251500", "Open Job")</f>
        <v/>
      </c>
      <c r="I210" t="inlineStr">
        <is>
          <t>2026-03-14 13:58</t>
        </is>
      </c>
    </row>
    <row r="211">
      <c r="A211" t="inlineStr">
        <is>
          <t>LinkedIn</t>
        </is>
      </c>
      <c r="B211" t="inlineStr">
        <is>
          <t>HVAC Engineer – Airports</t>
        </is>
      </c>
      <c r="C211" t="inlineStr">
        <is>
          <t>AECOM</t>
        </is>
      </c>
      <c r="D211" t="inlineStr">
        <is>
          <t>Gurugram, Haryana, India</t>
        </is>
      </c>
      <c r="E211" t="inlineStr">
        <is>
          <t>Gurugram</t>
        </is>
      </c>
      <c r="F211" t="inlineStr">
        <is>
          <t>Seniority level Not Applicable</t>
        </is>
      </c>
      <c r="G211" t="inlineStr">
        <is>
          <t>12 hours ago</t>
        </is>
      </c>
      <c r="H211">
        <f>HYPERLINK("https://in.linkedin.com/jobs/view/hvac-engineer-%E2%80%93-airports-at-aecom-4383958374", "Open Job")</f>
        <v/>
      </c>
      <c r="I211" t="inlineStr">
        <is>
          <t>2026-03-14 13:58</t>
        </is>
      </c>
    </row>
    <row r="212">
      <c r="A212" t="inlineStr">
        <is>
          <t>LinkedIn</t>
        </is>
      </c>
      <c r="B212" t="inlineStr">
        <is>
          <t>Java Fullstack (Angular) Developer (Standard)</t>
        </is>
      </c>
      <c r="C212" t="inlineStr">
        <is>
          <t>Infogain</t>
        </is>
      </c>
      <c r="D212" t="inlineStr">
        <is>
          <t>Gurugram, Haryana, India</t>
        </is>
      </c>
      <c r="E212" t="inlineStr">
        <is>
          <t>Gurugram</t>
        </is>
      </c>
      <c r="F212" t="inlineStr">
        <is>
          <t>Seniority level Not Applicable</t>
        </is>
      </c>
      <c r="G212" t="inlineStr">
        <is>
          <t>20 hours ago</t>
        </is>
      </c>
      <c r="H212">
        <f>HYPERLINK("https://in.linkedin.com/jobs/view/java-fullstack-angular-developer-standard-at-infogain-4376206860", "Open Job")</f>
        <v/>
      </c>
      <c r="I212" t="inlineStr">
        <is>
          <t>2026-03-14 13:58</t>
        </is>
      </c>
    </row>
    <row r="213">
      <c r="A213" t="inlineStr">
        <is>
          <t>LinkedIn</t>
        </is>
      </c>
      <c r="B213" t="inlineStr">
        <is>
          <t>Gen AI Data Scientist - Senior Associate</t>
        </is>
      </c>
      <c r="C213" t="inlineStr">
        <is>
          <t>PwC Acceleration Center India</t>
        </is>
      </c>
      <c r="D213" t="inlineStr">
        <is>
          <t>Gurugram, Haryana, India</t>
        </is>
      </c>
      <c r="E213" t="inlineStr">
        <is>
          <t>Gurugram</t>
        </is>
      </c>
      <c r="F213" t="inlineStr">
        <is>
          <t>Seniority level Not Applicable</t>
        </is>
      </c>
      <c r="G213" t="inlineStr">
        <is>
          <t>16 hours ago</t>
        </is>
      </c>
      <c r="H213">
        <f>HYPERLINK("https://in.linkedin.com/jobs/view/gen-ai-data-scientist-senior-associate-at-pwc-acceleration-center-india-4373123647", "Open Job")</f>
        <v/>
      </c>
      <c r="I213" t="inlineStr">
        <is>
          <t>2026-03-14 13:58</t>
        </is>
      </c>
    </row>
    <row r="214">
      <c r="A214" t="inlineStr">
        <is>
          <t>LinkedIn</t>
        </is>
      </c>
      <c r="B214" t="inlineStr">
        <is>
          <t>Software Engineer, Java &amp; SQL, VP</t>
        </is>
      </c>
      <c r="C214" t="inlineStr">
        <is>
          <t>NatWest Group</t>
        </is>
      </c>
      <c r="D214" t="inlineStr">
        <is>
          <t>Gurugram, Haryana, India</t>
        </is>
      </c>
      <c r="E214" t="inlineStr">
        <is>
          <t>Gurugram</t>
        </is>
      </c>
      <c r="F214" t="inlineStr">
        <is>
          <t>Seniority level Not Applicable</t>
        </is>
      </c>
      <c r="G214" t="inlineStr">
        <is>
          <t>21 hours ago</t>
        </is>
      </c>
      <c r="H214">
        <f>HYPERLINK("https://in.linkedin.com/jobs/view/software-engineer-java-sql-vp-at-natwest-group-4385317917", "Open Job")</f>
        <v/>
      </c>
      <c r="I214" t="inlineStr">
        <is>
          <t>2026-03-14 13:58</t>
        </is>
      </c>
    </row>
    <row r="215">
      <c r="A215" t="inlineStr">
        <is>
          <t>LinkedIn</t>
        </is>
      </c>
      <c r="B215" t="inlineStr">
        <is>
          <t>IN-Manager_Account Management_Client &amp; Industries_IFS_Gurgaon</t>
        </is>
      </c>
      <c r="C215" t="inlineStr">
        <is>
          <t>PwC India</t>
        </is>
      </c>
      <c r="D215" t="inlineStr">
        <is>
          <t>Gurugram, Haryana, India</t>
        </is>
      </c>
      <c r="E215" t="inlineStr">
        <is>
          <t>Gurugram</t>
        </is>
      </c>
      <c r="F215" t="inlineStr">
        <is>
          <t>Seniority level Not Applicable</t>
        </is>
      </c>
      <c r="G215" t="inlineStr">
        <is>
          <t>18 hours ago</t>
        </is>
      </c>
      <c r="H215">
        <f>HYPERLINK("https://in.linkedin.com/jobs/view/in-manager-account-management-client-industries-ifs-gurgaon-at-pwc-india-4385358342", "Open Job")</f>
        <v/>
      </c>
      <c r="I215" t="inlineStr">
        <is>
          <t>2026-03-14 13:58</t>
        </is>
      </c>
    </row>
    <row r="216">
      <c r="A216" t="inlineStr">
        <is>
          <t>LinkedIn</t>
        </is>
      </c>
      <c r="B216" t="inlineStr">
        <is>
          <t>Analyst, Cash Applications</t>
        </is>
      </c>
      <c r="C216" t="inlineStr">
        <is>
          <t>Cint</t>
        </is>
      </c>
      <c r="D216" t="inlineStr">
        <is>
          <t>Gurgaon, Haryana, India</t>
        </is>
      </c>
      <c r="E216" t="inlineStr">
        <is>
          <t>Noida</t>
        </is>
      </c>
      <c r="F216" t="inlineStr">
        <is>
          <t>Entry</t>
        </is>
      </c>
      <c r="G216" t="inlineStr">
        <is>
          <t>11 hours ago</t>
        </is>
      </c>
      <c r="H216">
        <f>HYPERLINK("https://in.linkedin.com/jobs/view/analyst-cash-applications-at-cint-4385514199", "Open Job")</f>
        <v/>
      </c>
      <c r="I216" t="inlineStr">
        <is>
          <t>2026-03-14 13:58</t>
        </is>
      </c>
    </row>
    <row r="217">
      <c r="A217" t="inlineStr">
        <is>
          <t>LinkedIn</t>
        </is>
      </c>
      <c r="B217" t="inlineStr">
        <is>
          <t>Relationship Manager-First Wealth</t>
        </is>
      </c>
      <c r="C217" t="inlineStr">
        <is>
          <t>IDFC FIRST Bank</t>
        </is>
      </c>
      <c r="D217" t="inlineStr">
        <is>
          <t>Greater Delhi Area</t>
        </is>
      </c>
      <c r="E217" t="inlineStr">
        <is>
          <t>Noida</t>
        </is>
      </c>
      <c r="F217" t="inlineStr">
        <is>
          <t>Entry</t>
        </is>
      </c>
      <c r="G217" t="inlineStr">
        <is>
          <t>20 hours ago</t>
        </is>
      </c>
      <c r="H217">
        <f>HYPERLINK("https://in.linkedin.com/jobs/view/relationship-manager-first-wealth-at-idfc-first-bank-4303894256", "Open Job")</f>
        <v/>
      </c>
      <c r="I217" t="inlineStr">
        <is>
          <t>2026-03-14 13:58</t>
        </is>
      </c>
    </row>
    <row r="218">
      <c r="A218" t="inlineStr">
        <is>
          <t>LinkedIn</t>
        </is>
      </c>
      <c r="B218" t="inlineStr">
        <is>
          <t>Relationship Manager-First Wealth</t>
        </is>
      </c>
      <c r="C218" t="inlineStr">
        <is>
          <t>IDFC FIRST Bank</t>
        </is>
      </c>
      <c r="D218" t="inlineStr">
        <is>
          <t>Greater Delhi Area</t>
        </is>
      </c>
      <c r="E218" t="inlineStr">
        <is>
          <t>Noida</t>
        </is>
      </c>
      <c r="F218" t="inlineStr">
        <is>
          <t>Entry</t>
        </is>
      </c>
      <c r="G218" t="inlineStr">
        <is>
          <t>20 hours ago</t>
        </is>
      </c>
      <c r="H218">
        <f>HYPERLINK("https://in.linkedin.com/jobs/view/relationship-manager-first-wealth-at-idfc-first-bank-4270248566", "Open Job")</f>
        <v/>
      </c>
      <c r="I218" t="inlineStr">
        <is>
          <t>2026-03-14 13:58</t>
        </is>
      </c>
    </row>
    <row r="219">
      <c r="A219" t="inlineStr">
        <is>
          <t>LinkedIn</t>
        </is>
      </c>
      <c r="B219" t="inlineStr">
        <is>
          <t>AI/Ml Software Engineer in Noida, Ghaziabad</t>
        </is>
      </c>
      <c r="C219" t="inlineStr">
        <is>
          <t>IG Defence</t>
        </is>
      </c>
      <c r="D219" t="inlineStr">
        <is>
          <t>Ghaziabad, Uttar Pradesh, India</t>
        </is>
      </c>
      <c r="E219" t="inlineStr">
        <is>
          <t>Noida</t>
        </is>
      </c>
      <c r="F219" t="inlineStr">
        <is>
          <t>Entry</t>
        </is>
      </c>
      <c r="G219" t="inlineStr">
        <is>
          <t>8 hours ago</t>
        </is>
      </c>
      <c r="H219">
        <f>HYPERLINK("https://in.linkedin.com/jobs/view/ai-ml-software-engineer-in-noida-ghaziabad-at-ig-defence-4385567995", "Open Job")</f>
        <v/>
      </c>
      <c r="I219" t="inlineStr">
        <is>
          <t>2026-03-14 13:58</t>
        </is>
      </c>
    </row>
    <row r="220">
      <c r="A220" t="inlineStr">
        <is>
          <t>LinkedIn</t>
        </is>
      </c>
      <c r="B220" t="inlineStr">
        <is>
          <t>Business Analyst</t>
        </is>
      </c>
      <c r="C220" t="inlineStr">
        <is>
          <t>IENERGY ®</t>
        </is>
      </c>
      <c r="D220" t="inlineStr">
        <is>
          <t>Noida, Uttar Pradesh, India</t>
        </is>
      </c>
      <c r="E220" t="inlineStr">
        <is>
          <t>Noida</t>
        </is>
      </c>
      <c r="F220" t="inlineStr">
        <is>
          <t>Entry</t>
        </is>
      </c>
      <c r="G220" t="inlineStr">
        <is>
          <t>19 hours ago</t>
        </is>
      </c>
      <c r="H220">
        <f>HYPERLINK("https://in.linkedin.com/jobs/view/business-analyst-at-ienergy-%C2%AE-4384267003", "Open Job")</f>
        <v/>
      </c>
      <c r="I220" t="inlineStr">
        <is>
          <t>2026-03-14 13:58</t>
        </is>
      </c>
    </row>
    <row r="221">
      <c r="A221" t="inlineStr">
        <is>
          <t>LinkedIn</t>
        </is>
      </c>
      <c r="B221" t="inlineStr">
        <is>
          <t>Embedded Software Engineer</t>
        </is>
      </c>
      <c r="C221" t="inlineStr">
        <is>
          <t>Sisha Greentech</t>
        </is>
      </c>
      <c r="D221" t="inlineStr">
        <is>
          <t>Noida, Uttar Pradesh, India</t>
        </is>
      </c>
      <c r="E221" t="inlineStr">
        <is>
          <t>Noida</t>
        </is>
      </c>
      <c r="F221" t="inlineStr">
        <is>
          <t>Entry</t>
        </is>
      </c>
      <c r="G221" t="inlineStr">
        <is>
          <t>15 hours ago</t>
        </is>
      </c>
      <c r="H221">
        <f>HYPERLINK("https://in.linkedin.com/jobs/view/embedded-software-engineer-at-sisha-greentech-4385396535", "Open Job")</f>
        <v/>
      </c>
      <c r="I221" t="inlineStr">
        <is>
          <t>2026-03-14 13:58</t>
        </is>
      </c>
    </row>
    <row r="222">
      <c r="A222" t="inlineStr">
        <is>
          <t>LinkedIn</t>
        </is>
      </c>
      <c r="B222" t="inlineStr">
        <is>
          <t>Software Development Engineer II</t>
        </is>
      </c>
      <c r="C222" t="inlineStr">
        <is>
          <t>Expedia Group</t>
        </is>
      </c>
      <c r="D222" t="inlineStr">
        <is>
          <t>Gurgaon, Haryana, India</t>
        </is>
      </c>
      <c r="E222" t="inlineStr">
        <is>
          <t>Noida</t>
        </is>
      </c>
      <c r="F222" t="inlineStr">
        <is>
          <t>Entry</t>
        </is>
      </c>
      <c r="G222" t="inlineStr">
        <is>
          <t>14 hours ago</t>
        </is>
      </c>
      <c r="H222">
        <f>HYPERLINK("https://in.linkedin.com/jobs/view/software-development-engineer-ii-at-expedia-group-4384270388", "Open Job")</f>
        <v/>
      </c>
      <c r="I222" t="inlineStr">
        <is>
          <t>2026-03-14 13:58</t>
        </is>
      </c>
    </row>
    <row r="223">
      <c r="A223" t="inlineStr">
        <is>
          <t>LinkedIn</t>
        </is>
      </c>
      <c r="B223" t="inlineStr">
        <is>
          <t>Business Analyst - Real Estate Economics</t>
        </is>
      </c>
      <c r="C223" t="inlineStr">
        <is>
          <t>Oshodata</t>
        </is>
      </c>
      <c r="D223" t="inlineStr">
        <is>
          <t>Noida, Uttar Pradesh, India</t>
        </is>
      </c>
      <c r="E223" t="inlineStr">
        <is>
          <t>Noida</t>
        </is>
      </c>
      <c r="F223" t="inlineStr">
        <is>
          <t>Entry</t>
        </is>
      </c>
      <c r="G223" t="inlineStr">
        <is>
          <t>12 hours ago</t>
        </is>
      </c>
      <c r="H223">
        <f>HYPERLINK("https://in.linkedin.com/jobs/view/business-analyst-real-estate-economics-at-oshodata-4384289092", "Open Job")</f>
        <v/>
      </c>
      <c r="I223" t="inlineStr">
        <is>
          <t>2026-03-14 13:58</t>
        </is>
      </c>
    </row>
    <row r="224">
      <c r="A224" t="inlineStr">
        <is>
          <t>LinkedIn</t>
        </is>
      </c>
      <c r="B224" t="inlineStr">
        <is>
          <t>IT Delivery</t>
        </is>
      </c>
      <c r="C224" t="inlineStr">
        <is>
          <t>Infosys</t>
        </is>
      </c>
      <c r="D224" t="inlineStr">
        <is>
          <t>Gurgaon, Haryana, India</t>
        </is>
      </c>
      <c r="E224" t="inlineStr">
        <is>
          <t>Noida</t>
        </is>
      </c>
      <c r="F224" t="inlineStr">
        <is>
          <t>Entry</t>
        </is>
      </c>
      <c r="G224" t="inlineStr">
        <is>
          <t>20 hours ago</t>
        </is>
      </c>
      <c r="H224">
        <f>HYPERLINK("https://in.linkedin.com/jobs/view/it-delivery-at-infosys-4367029942", "Open Job")</f>
        <v/>
      </c>
      <c r="I224" t="inlineStr">
        <is>
          <t>2026-03-14 13:58</t>
        </is>
      </c>
    </row>
    <row r="225">
      <c r="A225" t="inlineStr">
        <is>
          <t>LinkedIn</t>
        </is>
      </c>
      <c r="B225" t="inlineStr">
        <is>
          <t>Quality Assurance Engineer</t>
        </is>
      </c>
      <c r="C225" t="inlineStr">
        <is>
          <t>Blue Enigma</t>
        </is>
      </c>
      <c r="D225" t="inlineStr">
        <is>
          <t>Delhi, India</t>
        </is>
      </c>
      <c r="E225" t="inlineStr">
        <is>
          <t>Noida</t>
        </is>
      </c>
      <c r="F225" t="inlineStr">
        <is>
          <t>Entry</t>
        </is>
      </c>
      <c r="G225" t="inlineStr">
        <is>
          <t>18 hours ago</t>
        </is>
      </c>
      <c r="H225">
        <f>HYPERLINK("https://in.linkedin.com/jobs/view/quality-assurance-engineer-at-blue-enigma-4384231014", "Open Job")</f>
        <v/>
      </c>
      <c r="I225" t="inlineStr">
        <is>
          <t>2026-03-14 13:58</t>
        </is>
      </c>
    </row>
    <row r="226">
      <c r="A226" t="inlineStr">
        <is>
          <t>LinkedIn</t>
        </is>
      </c>
      <c r="B226" t="inlineStr">
        <is>
          <t>Accountant</t>
        </is>
      </c>
      <c r="C226" t="inlineStr">
        <is>
          <t>TANVI DESIGN GROUP</t>
        </is>
      </c>
      <c r="D226" t="inlineStr">
        <is>
          <t>Delhi, India</t>
        </is>
      </c>
      <c r="E226" t="inlineStr">
        <is>
          <t>Noida</t>
        </is>
      </c>
      <c r="F226" t="inlineStr">
        <is>
          <t>Entry</t>
        </is>
      </c>
      <c r="G226" t="inlineStr">
        <is>
          <t>21 hours ago</t>
        </is>
      </c>
      <c r="H226">
        <f>HYPERLINK("https://in.linkedin.com/jobs/view/accountant-at-tanvi-design-group-4384230888", "Open Job")</f>
        <v/>
      </c>
      <c r="I226" t="inlineStr">
        <is>
          <t>2026-03-14 13:58</t>
        </is>
      </c>
    </row>
    <row r="227">
      <c r="A227" t="inlineStr">
        <is>
          <t>LinkedIn</t>
        </is>
      </c>
      <c r="B227" t="inlineStr">
        <is>
          <t>React js developer</t>
        </is>
      </c>
      <c r="C227" t="inlineStr">
        <is>
          <t>4th Quarter Technologies Pvt. Ltd.</t>
        </is>
      </c>
      <c r="D227" t="inlineStr">
        <is>
          <t>Noida, Uttar Pradesh, India</t>
        </is>
      </c>
      <c r="E227" t="inlineStr">
        <is>
          <t>Noida</t>
        </is>
      </c>
      <c r="F227" t="inlineStr">
        <is>
          <t>Entry</t>
        </is>
      </c>
      <c r="G227" t="inlineStr">
        <is>
          <t>3 hours ago</t>
        </is>
      </c>
      <c r="H227">
        <f>HYPERLINK("https://in.linkedin.com/jobs/view/react-js-developer-at-4th-quarter-technologies-pvt-ltd-4384637514", "Open Job")</f>
        <v/>
      </c>
      <c r="I227" t="inlineStr">
        <is>
          <t>2026-03-14 13:58</t>
        </is>
      </c>
    </row>
    <row r="228">
      <c r="A228" t="inlineStr">
        <is>
          <t>LinkedIn</t>
        </is>
      </c>
      <c r="B228" t="inlineStr">
        <is>
          <t>Quality Assurance Tester</t>
        </is>
      </c>
      <c r="C228" t="inlineStr">
        <is>
          <t>SISGAIN</t>
        </is>
      </c>
      <c r="D228" t="inlineStr">
        <is>
          <t>Noida, Uttar Pradesh, India</t>
        </is>
      </c>
      <c r="E228" t="inlineStr">
        <is>
          <t>Noida</t>
        </is>
      </c>
      <c r="F228" t="inlineStr">
        <is>
          <t>Entry</t>
        </is>
      </c>
      <c r="G228" t="inlineStr">
        <is>
          <t>8 minutes ago</t>
        </is>
      </c>
      <c r="H228">
        <f>HYPERLINK("https://in.linkedin.com/jobs/view/quality-assurance-tester-at-sisgain-4384660164", "Open Job")</f>
        <v/>
      </c>
      <c r="I228" t="inlineStr">
        <is>
          <t>2026-03-14 13:58</t>
        </is>
      </c>
    </row>
    <row r="229">
      <c r="A229" t="inlineStr">
        <is>
          <t>LinkedIn</t>
        </is>
      </c>
      <c r="B229" t="inlineStr">
        <is>
          <t>Python Developer (AI/ML)</t>
        </is>
      </c>
      <c r="C229" t="inlineStr">
        <is>
          <t>Real Jobs Consulting Services</t>
        </is>
      </c>
      <c r="D229" t="inlineStr">
        <is>
          <t>Greater Delhi Area</t>
        </is>
      </c>
      <c r="E229" t="inlineStr">
        <is>
          <t>Noida</t>
        </is>
      </c>
      <c r="F229" t="inlineStr">
        <is>
          <t>Entry</t>
        </is>
      </c>
      <c r="G229" t="inlineStr">
        <is>
          <t>17 hours ago</t>
        </is>
      </c>
      <c r="H229">
        <f>HYPERLINK("https://in.linkedin.com/jobs/view/python-developer-ai-ml-at-real-jobs-consulting-services-4383127581", "Open Job")</f>
        <v/>
      </c>
      <c r="I229" t="inlineStr">
        <is>
          <t>2026-03-14 13:58</t>
        </is>
      </c>
    </row>
    <row r="230">
      <c r="A230" t="inlineStr">
        <is>
          <t>LinkedIn</t>
        </is>
      </c>
      <c r="B230" t="inlineStr">
        <is>
          <t>PROCESS DELIVERY SPECIALIST-PROCURE TO PAY</t>
        </is>
      </c>
      <c r="C230" t="inlineStr">
        <is>
          <t>IBM</t>
        </is>
      </c>
      <c r="D230" t="inlineStr">
        <is>
          <t>Gurgaon, Haryana, India</t>
        </is>
      </c>
      <c r="E230" t="inlineStr">
        <is>
          <t>Noida</t>
        </is>
      </c>
      <c r="F230" t="inlineStr">
        <is>
          <t>Entry</t>
        </is>
      </c>
      <c r="G230" t="inlineStr">
        <is>
          <t>14 hours ago</t>
        </is>
      </c>
      <c r="H230">
        <f>HYPERLINK("https://in.linkedin.com/jobs/view/process-delivery-specialist-procure-to-pay-at-ibm-4373463487", "Open Job")</f>
        <v/>
      </c>
      <c r="I230" t="inlineStr">
        <is>
          <t>2026-03-14 13:58</t>
        </is>
      </c>
    </row>
    <row r="231">
      <c r="A231" t="inlineStr">
        <is>
          <t>LinkedIn</t>
        </is>
      </c>
      <c r="B231" t="inlineStr">
        <is>
          <t>Investment Banking Analyst</t>
        </is>
      </c>
      <c r="C231" t="inlineStr">
        <is>
          <t>Legacy Growth</t>
        </is>
      </c>
      <c r="D231" t="inlineStr">
        <is>
          <t>Gurugram, Haryana, India</t>
        </is>
      </c>
      <c r="E231" t="inlineStr">
        <is>
          <t>Noida</t>
        </is>
      </c>
      <c r="F231" t="inlineStr">
        <is>
          <t>Entry</t>
        </is>
      </c>
      <c r="G231" t="inlineStr">
        <is>
          <t>8 minutes ago</t>
        </is>
      </c>
      <c r="H231">
        <f>HYPERLINK("https://in.linkedin.com/jobs/view/investment-banking-analyst-at-legacy-growth-4384644798", "Open Job")</f>
        <v/>
      </c>
      <c r="I231" t="inlineStr">
        <is>
          <t>2026-03-14 13:58</t>
        </is>
      </c>
    </row>
    <row r="232">
      <c r="A232" t="inlineStr">
        <is>
          <t>LinkedIn</t>
        </is>
      </c>
      <c r="B232" t="inlineStr">
        <is>
          <t>.NET &amp; MS SQL Developer – Fresher / Junior Developer</t>
        </is>
      </c>
      <c r="C232" t="inlineStr">
        <is>
          <t>4th Quarter Technologies Pvt. Ltd.</t>
        </is>
      </c>
      <c r="D232" t="inlineStr">
        <is>
          <t>Noida, Uttar Pradesh, India</t>
        </is>
      </c>
      <c r="E232" t="inlineStr">
        <is>
          <t>Noida</t>
        </is>
      </c>
      <c r="F232" t="inlineStr">
        <is>
          <t>Entry</t>
        </is>
      </c>
      <c r="G232" t="inlineStr">
        <is>
          <t>3 hours ago</t>
        </is>
      </c>
      <c r="H232">
        <f>HYPERLINK("https://in.linkedin.com/jobs/view/net-ms-sql-developer-%E2%80%93-fresher-junior-developer-at-4th-quarter-technologies-pvt-ltd-4384638504", "Open Job")</f>
        <v/>
      </c>
      <c r="I232" t="inlineStr">
        <is>
          <t>2026-03-14 13:58</t>
        </is>
      </c>
    </row>
    <row r="233">
      <c r="A233" t="inlineStr">
        <is>
          <t>LinkedIn</t>
        </is>
      </c>
      <c r="B233" t="inlineStr">
        <is>
          <t>Digital Marketing Specialist</t>
        </is>
      </c>
      <c r="C233" t="inlineStr">
        <is>
          <t>Technopedia Software Pvt. Ltd.</t>
        </is>
      </c>
      <c r="D233" t="inlineStr">
        <is>
          <t>Noida, Uttar Pradesh, India</t>
        </is>
      </c>
      <c r="E233" t="inlineStr">
        <is>
          <t>Noida</t>
        </is>
      </c>
      <c r="F233" t="inlineStr">
        <is>
          <t>Entry</t>
        </is>
      </c>
      <c r="G233" t="inlineStr">
        <is>
          <t>17 hours ago</t>
        </is>
      </c>
      <c r="H233">
        <f>HYPERLINK("https://in.linkedin.com/jobs/view/digital-marketing-specialist-at-technopedia-software-pvt-ltd-4383125613", "Open Job")</f>
        <v/>
      </c>
      <c r="I233" t="inlineStr">
        <is>
          <t>2026-03-14 13:58</t>
        </is>
      </c>
    </row>
    <row r="234">
      <c r="A234" t="inlineStr">
        <is>
          <t>LinkedIn</t>
        </is>
      </c>
      <c r="B234" t="inlineStr">
        <is>
          <t>Associate- People &amp; ORG(Tech)</t>
        </is>
      </c>
      <c r="C234" t="inlineStr">
        <is>
          <t>Tech Economy</t>
        </is>
      </c>
      <c r="D234" t="inlineStr">
        <is>
          <t>Delhi, Delhi, India</t>
        </is>
      </c>
      <c r="E234" t="inlineStr">
        <is>
          <t>Noida</t>
        </is>
      </c>
      <c r="F234" t="inlineStr">
        <is>
          <t>Entry</t>
        </is>
      </c>
      <c r="G234" t="inlineStr">
        <is>
          <t>18 hours ago</t>
        </is>
      </c>
      <c r="H234">
        <f>HYPERLINK("https://in.linkedin.com/jobs/view/associate-people-org-tech-at-tech-economy-4385359882", "Open Job")</f>
        <v/>
      </c>
      <c r="I234" t="inlineStr">
        <is>
          <t>2026-03-14 13:58</t>
        </is>
      </c>
    </row>
    <row r="235">
      <c r="A235" t="inlineStr">
        <is>
          <t>LinkedIn</t>
        </is>
      </c>
      <c r="B235" t="inlineStr">
        <is>
          <t>Graphic Designer</t>
        </is>
      </c>
      <c r="C235" t="inlineStr">
        <is>
          <t>Bluella™</t>
        </is>
      </c>
      <c r="D235" t="inlineStr">
        <is>
          <t>Gurgaon, Haryana, India</t>
        </is>
      </c>
      <c r="E235" t="inlineStr">
        <is>
          <t>Noida</t>
        </is>
      </c>
      <c r="F235" t="inlineStr">
        <is>
          <t>Entry</t>
        </is>
      </c>
      <c r="G235" t="inlineStr">
        <is>
          <t>23 hours ago</t>
        </is>
      </c>
      <c r="H235">
        <f>HYPERLINK("https://in.linkedin.com/jobs/view/graphic-designer-at-bluella%E2%84%A2-4384243262", "Open Job")</f>
        <v/>
      </c>
      <c r="I235" t="inlineStr">
        <is>
          <t>2026-03-14 13:58</t>
        </is>
      </c>
    </row>
    <row r="236">
      <c r="A236" t="inlineStr">
        <is>
          <t>LinkedIn</t>
        </is>
      </c>
      <c r="B236" t="inlineStr">
        <is>
          <t>Java FSD</t>
        </is>
      </c>
      <c r="C236" t="inlineStr">
        <is>
          <t>Virtusa</t>
        </is>
      </c>
      <c r="D236" t="inlineStr">
        <is>
          <t>Gurgaon, Haryana, India</t>
        </is>
      </c>
      <c r="E236" t="inlineStr">
        <is>
          <t>Noida</t>
        </is>
      </c>
      <c r="F236" t="inlineStr">
        <is>
          <t>Associate</t>
        </is>
      </c>
      <c r="G236" t="inlineStr">
        <is>
          <t>20 hours ago</t>
        </is>
      </c>
      <c r="H236">
        <f>HYPERLINK("https://in.linkedin.com/jobs/view/java-fsd-at-virtusa-4344393910", "Open Job")</f>
        <v/>
      </c>
      <c r="I236" t="inlineStr">
        <is>
          <t>2026-03-14 13:58</t>
        </is>
      </c>
    </row>
    <row r="237">
      <c r="A237" t="inlineStr">
        <is>
          <t>LinkedIn</t>
        </is>
      </c>
      <c r="B237" t="inlineStr">
        <is>
          <t>Product Manager</t>
        </is>
      </c>
      <c r="C237" t="inlineStr">
        <is>
          <t>Valiance Solutions</t>
        </is>
      </c>
      <c r="D237" t="inlineStr">
        <is>
          <t>Noida, Uttar Pradesh, India</t>
        </is>
      </c>
      <c r="E237" t="inlineStr">
        <is>
          <t>Noida</t>
        </is>
      </c>
      <c r="F237" t="inlineStr">
        <is>
          <t>Associate</t>
        </is>
      </c>
      <c r="G237" t="inlineStr">
        <is>
          <t>23 hours ago</t>
        </is>
      </c>
      <c r="H237">
        <f>HYPERLINK("https://in.linkedin.com/jobs/view/product-manager-at-valiance-solutions-4385322616", "Open Job")</f>
        <v/>
      </c>
      <c r="I237" t="inlineStr">
        <is>
          <t>2026-03-14 13:58</t>
        </is>
      </c>
    </row>
    <row r="238">
      <c r="A238" t="inlineStr">
        <is>
          <t>LinkedIn</t>
        </is>
      </c>
      <c r="B238" t="inlineStr">
        <is>
          <t>Senior Backend Developer</t>
        </is>
      </c>
      <c r="C238" t="inlineStr">
        <is>
          <t>Schneider Electric</t>
        </is>
      </c>
      <c r="D238" t="inlineStr">
        <is>
          <t>Gurgaon, Haryana, India</t>
        </is>
      </c>
      <c r="E238" t="inlineStr">
        <is>
          <t>Noida</t>
        </is>
      </c>
      <c r="F238" t="inlineStr">
        <is>
          <t>Associate</t>
        </is>
      </c>
      <c r="G238" t="inlineStr">
        <is>
          <t>15 hours ago</t>
        </is>
      </c>
      <c r="H238">
        <f>HYPERLINK("https://in.linkedin.com/jobs/view/senior-backend-developer-at-schneider-electric-4384271130", "Open Job")</f>
        <v/>
      </c>
      <c r="I238" t="inlineStr">
        <is>
          <t>2026-03-14 13:58</t>
        </is>
      </c>
    </row>
    <row r="239">
      <c r="A239" t="inlineStr">
        <is>
          <t>LinkedIn</t>
        </is>
      </c>
      <c r="B239" t="inlineStr">
        <is>
          <t>.NET Full stack Module Lead</t>
        </is>
      </c>
      <c r="C239" t="inlineStr">
        <is>
          <t>Sopra Steria</t>
        </is>
      </c>
      <c r="D239" t="inlineStr">
        <is>
          <t>Noida, Uttar Pradesh, India</t>
        </is>
      </c>
      <c r="E239" t="inlineStr">
        <is>
          <t>Noida</t>
        </is>
      </c>
      <c r="F239" t="inlineStr">
        <is>
          <t>Associate</t>
        </is>
      </c>
      <c r="G239" t="inlineStr">
        <is>
          <t>19 hours ago</t>
        </is>
      </c>
      <c r="H239">
        <f>HYPERLINK("https://in.linkedin.com/jobs/view/net-full-stack-module-lead-at-sopra-steria-4384255038", "Open Job")</f>
        <v/>
      </c>
      <c r="I239" t="inlineStr">
        <is>
          <t>2026-03-14 13:58</t>
        </is>
      </c>
    </row>
    <row r="240">
      <c r="A240" t="inlineStr">
        <is>
          <t>LinkedIn</t>
        </is>
      </c>
      <c r="B240" t="inlineStr">
        <is>
          <t>Client Servicing Executive</t>
        </is>
      </c>
      <c r="C240" t="inlineStr">
        <is>
          <t>Graygraph Technologies Pvt Ltd</t>
        </is>
      </c>
      <c r="D240" t="inlineStr">
        <is>
          <t>Noida, Uttar Pradesh, India</t>
        </is>
      </c>
      <c r="E240" t="inlineStr">
        <is>
          <t>Noida</t>
        </is>
      </c>
      <c r="F240" t="inlineStr">
        <is>
          <t>Associate</t>
        </is>
      </c>
      <c r="G240" t="inlineStr">
        <is>
          <t>22 hours ago</t>
        </is>
      </c>
      <c r="H240">
        <f>HYPERLINK("https://in.linkedin.com/jobs/view/client-servicing-executive-at-graygraph-technologies-pvt-ltd-4383101237", "Open Job")</f>
        <v/>
      </c>
      <c r="I240" t="inlineStr">
        <is>
          <t>2026-03-14 13:58</t>
        </is>
      </c>
    </row>
    <row r="241">
      <c r="A241" t="inlineStr">
        <is>
          <t>LinkedIn</t>
        </is>
      </c>
      <c r="B241" t="inlineStr">
        <is>
          <t>Senior Finance Analyst - General Accounting</t>
        </is>
      </c>
      <c r="C241" t="inlineStr">
        <is>
          <t>JLL</t>
        </is>
      </c>
      <c r="D241" t="inlineStr">
        <is>
          <t>Gurgaon, Haryana, India</t>
        </is>
      </c>
      <c r="E241" t="inlineStr">
        <is>
          <t>Noida</t>
        </is>
      </c>
      <c r="F241" t="inlineStr">
        <is>
          <t>Associate</t>
        </is>
      </c>
      <c r="G241" t="inlineStr">
        <is>
          <t>14 hours ago</t>
        </is>
      </c>
      <c r="H241">
        <f>HYPERLINK("https://in.linkedin.com/jobs/view/senior-finance-analyst-general-accounting-at-jll-4385514214", "Open Job")</f>
        <v/>
      </c>
      <c r="I241" t="inlineStr">
        <is>
          <t>2026-03-14 13:58</t>
        </is>
      </c>
    </row>
    <row r="242">
      <c r="A242" t="inlineStr">
        <is>
          <t>LinkedIn</t>
        </is>
      </c>
      <c r="B242" t="inlineStr">
        <is>
          <t>Associate Architect</t>
        </is>
      </c>
      <c r="C242" t="inlineStr">
        <is>
          <t>Zafify</t>
        </is>
      </c>
      <c r="D242" t="inlineStr">
        <is>
          <t>Noida, Uttar Pradesh, India</t>
        </is>
      </c>
      <c r="E242" t="inlineStr">
        <is>
          <t>Noida</t>
        </is>
      </c>
      <c r="F242" t="inlineStr">
        <is>
          <t>Associate</t>
        </is>
      </c>
      <c r="G242" t="inlineStr">
        <is>
          <t>22 hours ago</t>
        </is>
      </c>
      <c r="H242">
        <f>HYPERLINK("https://in.linkedin.com/jobs/view/associate-architect-at-zafify-4383080925", "Open Job")</f>
        <v/>
      </c>
      <c r="I242" t="inlineStr">
        <is>
          <t>2026-03-14 13:58</t>
        </is>
      </c>
    </row>
    <row r="243">
      <c r="A243" t="inlineStr">
        <is>
          <t>LinkedIn</t>
        </is>
      </c>
      <c r="B243" t="inlineStr">
        <is>
          <t>Senior QA Engineer-Cloud</t>
        </is>
      </c>
      <c r="C243" t="inlineStr">
        <is>
          <t>Schneider Electric</t>
        </is>
      </c>
      <c r="D243" t="inlineStr">
        <is>
          <t>Gurgaon, Haryana, India</t>
        </is>
      </c>
      <c r="E243" t="inlineStr">
        <is>
          <t>Noida</t>
        </is>
      </c>
      <c r="F243" t="inlineStr">
        <is>
          <t>Associate</t>
        </is>
      </c>
      <c r="G243" t="inlineStr">
        <is>
          <t>15 hours ago</t>
        </is>
      </c>
      <c r="H243">
        <f>HYPERLINK("https://in.linkedin.com/jobs/view/senior-qa-engineer-cloud-at-schneider-electric-4384262486", "Open Job")</f>
        <v/>
      </c>
      <c r="I243" t="inlineStr">
        <is>
          <t>2026-03-14 13:58</t>
        </is>
      </c>
    </row>
    <row r="244">
      <c r="A244" t="inlineStr">
        <is>
          <t>LinkedIn</t>
        </is>
      </c>
      <c r="B244" t="inlineStr">
        <is>
          <t>Salesforce Developer</t>
        </is>
      </c>
      <c r="C244" t="inlineStr">
        <is>
          <t>Tata Consultancy Services</t>
        </is>
      </c>
      <c r="D244" t="inlineStr">
        <is>
          <t>Noida, Uttar Pradesh, India</t>
        </is>
      </c>
      <c r="E244" t="inlineStr">
        <is>
          <t>Noida</t>
        </is>
      </c>
      <c r="F244" t="inlineStr">
        <is>
          <t>Associate</t>
        </is>
      </c>
      <c r="G244" t="inlineStr">
        <is>
          <t>1 hour ago</t>
        </is>
      </c>
      <c r="H244">
        <f>HYPERLINK("https://in.linkedin.com/jobs/view/salesforce-developer-at-tata-consultancy-services-4384646412", "Open Job")</f>
        <v/>
      </c>
      <c r="I244" t="inlineStr">
        <is>
          <t>2026-03-14 13:58</t>
        </is>
      </c>
    </row>
    <row r="245">
      <c r="A245" t="inlineStr">
        <is>
          <t>LinkedIn</t>
        </is>
      </c>
      <c r="B245" t="inlineStr">
        <is>
          <t>Corporate Account Executive</t>
        </is>
      </c>
      <c r="C245" t="inlineStr">
        <is>
          <t>Neo4j</t>
        </is>
      </c>
      <c r="D245" t="inlineStr">
        <is>
          <t>Delhi, Delhi, India</t>
        </is>
      </c>
      <c r="E245" t="inlineStr">
        <is>
          <t>Noida</t>
        </is>
      </c>
      <c r="F245" t="inlineStr">
        <is>
          <t>Associate</t>
        </is>
      </c>
      <c r="G245" t="inlineStr">
        <is>
          <t>20 hours ago</t>
        </is>
      </c>
      <c r="H245">
        <f>HYPERLINK("https://in.linkedin.com/jobs/view/corporate-account-executive-at-neo4j-4385302783", "Open Job")</f>
        <v/>
      </c>
      <c r="I245" t="inlineStr">
        <is>
          <t>2026-03-14 13:58</t>
        </is>
      </c>
    </row>
    <row r="246">
      <c r="A246" t="inlineStr">
        <is>
          <t>LinkedIn</t>
        </is>
      </c>
      <c r="B246" t="inlineStr">
        <is>
          <t>Senior Edge application Developer</t>
        </is>
      </c>
      <c r="C246" t="inlineStr">
        <is>
          <t>Schneider Electric</t>
        </is>
      </c>
      <c r="D246" t="inlineStr">
        <is>
          <t>Gurgaon, Haryana, India</t>
        </is>
      </c>
      <c r="E246" t="inlineStr">
        <is>
          <t>Noida</t>
        </is>
      </c>
      <c r="F246" t="inlineStr">
        <is>
          <t>Associate</t>
        </is>
      </c>
      <c r="G246" t="inlineStr">
        <is>
          <t>15 hours ago</t>
        </is>
      </c>
      <c r="H246">
        <f>HYPERLINK("https://in.linkedin.com/jobs/view/senior-edge-application-developer-at-schneider-electric-4384257667", "Open Job")</f>
        <v/>
      </c>
      <c r="I246" t="inlineStr">
        <is>
          <t>2026-03-14 13:58</t>
        </is>
      </c>
    </row>
    <row r="247">
      <c r="A247" t="inlineStr">
        <is>
          <t>LinkedIn</t>
        </is>
      </c>
      <c r="B247" t="inlineStr">
        <is>
          <t>MTS-II</t>
        </is>
      </c>
      <c r="C247" t="inlineStr">
        <is>
          <t>Adobe</t>
        </is>
      </c>
      <c r="D247" t="inlineStr">
        <is>
          <t>Noida, Uttar Pradesh, India</t>
        </is>
      </c>
      <c r="E247" t="inlineStr">
        <is>
          <t>Noida</t>
        </is>
      </c>
      <c r="F247" t="inlineStr">
        <is>
          <t>Mid</t>
        </is>
      </c>
      <c r="G247" t="inlineStr">
        <is>
          <t>14 hours ago</t>
        </is>
      </c>
      <c r="H247">
        <f>HYPERLINK("https://in.linkedin.com/jobs/view/mts-ii-at-adobe-4374369321", "Open Job")</f>
        <v/>
      </c>
      <c r="I247" t="inlineStr">
        <is>
          <t>2026-03-14 13:58</t>
        </is>
      </c>
    </row>
    <row r="248">
      <c r="A248" t="inlineStr">
        <is>
          <t>LinkedIn</t>
        </is>
      </c>
      <c r="B248" t="inlineStr">
        <is>
          <t>Client Manager - Chandigarh</t>
        </is>
      </c>
      <c r="C248" t="inlineStr">
        <is>
          <t>Lenovo</t>
        </is>
      </c>
      <c r="D248" t="inlineStr">
        <is>
          <t>Gurgaon, Haryana, India</t>
        </is>
      </c>
      <c r="E248" t="inlineStr">
        <is>
          <t>Noida</t>
        </is>
      </c>
      <c r="F248" t="inlineStr">
        <is>
          <t>Mid</t>
        </is>
      </c>
      <c r="G248" t="inlineStr">
        <is>
          <t>13 hours ago</t>
        </is>
      </c>
      <c r="H248">
        <f>HYPERLINK("https://in.linkedin.com/jobs/view/client-manager-chandigarh-at-lenovo-4374632061", "Open Job")</f>
        <v/>
      </c>
      <c r="I248" t="inlineStr">
        <is>
          <t>2026-03-14 13:58</t>
        </is>
      </c>
    </row>
    <row r="249">
      <c r="A249" t="inlineStr">
        <is>
          <t>LinkedIn</t>
        </is>
      </c>
      <c r="B249" t="inlineStr">
        <is>
          <t>Project Engineer – Electrical</t>
        </is>
      </c>
      <c r="C249" t="inlineStr">
        <is>
          <t>Rockwell Automation</t>
        </is>
      </c>
      <c r="D249" t="inlineStr">
        <is>
          <t>Noida, Uttar Pradesh, India</t>
        </is>
      </c>
      <c r="E249" t="inlineStr">
        <is>
          <t>Noida</t>
        </is>
      </c>
      <c r="F249" t="inlineStr">
        <is>
          <t>Mid</t>
        </is>
      </c>
      <c r="G249" t="inlineStr">
        <is>
          <t>18 hours ago</t>
        </is>
      </c>
      <c r="H249">
        <f>HYPERLINK("https://in.linkedin.com/jobs/view/project-engineer-%E2%80%93-electrical-at-rockwell-automation-4344037172", "Open Job")</f>
        <v/>
      </c>
      <c r="I249" t="inlineStr">
        <is>
          <t>2026-03-14 13:58</t>
        </is>
      </c>
    </row>
    <row r="250">
      <c r="A250" t="inlineStr">
        <is>
          <t>LinkedIn</t>
        </is>
      </c>
      <c r="B250" t="inlineStr">
        <is>
          <t>Software Engineer</t>
        </is>
      </c>
      <c r="C250" t="inlineStr">
        <is>
          <t>MARS Cosmetics</t>
        </is>
      </c>
      <c r="D250" t="inlineStr">
        <is>
          <t>Delhi, India</t>
        </is>
      </c>
      <c r="E250" t="inlineStr">
        <is>
          <t>Noida</t>
        </is>
      </c>
      <c r="F250" t="inlineStr">
        <is>
          <t>Mid</t>
        </is>
      </c>
      <c r="G250" t="inlineStr">
        <is>
          <t>16 hours ago</t>
        </is>
      </c>
      <c r="H250">
        <f>HYPERLINK("https://in.linkedin.com/jobs/view/software-engineer-at-mars-cosmetics-4385385854", "Open Job")</f>
        <v/>
      </c>
      <c r="I250" t="inlineStr">
        <is>
          <t>2026-03-14 13:58</t>
        </is>
      </c>
    </row>
    <row r="251">
      <c r="A251" t="inlineStr">
        <is>
          <t>LinkedIn</t>
        </is>
      </c>
      <c r="B251" t="inlineStr">
        <is>
          <t>Product Manager</t>
        </is>
      </c>
      <c r="C251" t="inlineStr">
        <is>
          <t>SOTI</t>
        </is>
      </c>
      <c r="D251" t="inlineStr">
        <is>
          <t>Gurgaon, Haryana, India</t>
        </is>
      </c>
      <c r="E251" t="inlineStr">
        <is>
          <t>Noida</t>
        </is>
      </c>
      <c r="F251" t="inlineStr">
        <is>
          <t>Mid</t>
        </is>
      </c>
      <c r="G251" t="inlineStr">
        <is>
          <t>15 hours ago</t>
        </is>
      </c>
      <c r="H251">
        <f>HYPERLINK("https://in.linkedin.com/jobs/view/product-manager-at-soti-4283392119", "Open Job")</f>
        <v/>
      </c>
      <c r="I251" t="inlineStr">
        <is>
          <t>2026-03-14 13:58</t>
        </is>
      </c>
    </row>
    <row r="252">
      <c r="A252" t="inlineStr">
        <is>
          <t>LinkedIn</t>
        </is>
      </c>
      <c r="B252" t="inlineStr">
        <is>
          <t>Brand sales specialist</t>
        </is>
      </c>
      <c r="C252" t="inlineStr">
        <is>
          <t>IBM</t>
        </is>
      </c>
      <c r="D252" t="inlineStr">
        <is>
          <t>Delhi, Delhi, India</t>
        </is>
      </c>
      <c r="E252" t="inlineStr">
        <is>
          <t>Noida</t>
        </is>
      </c>
      <c r="F252" t="inlineStr">
        <is>
          <t>Mid</t>
        </is>
      </c>
      <c r="G252" t="inlineStr">
        <is>
          <t>14 hours ago</t>
        </is>
      </c>
      <c r="H252">
        <f>HYPERLINK("https://in.linkedin.com/jobs/view/brand-sales-specialist-at-ibm-4373435125", "Open Job")</f>
        <v/>
      </c>
      <c r="I252" t="inlineStr">
        <is>
          <t>2026-03-14 13:58</t>
        </is>
      </c>
    </row>
    <row r="253">
      <c r="A253" t="inlineStr">
        <is>
          <t>LinkedIn</t>
        </is>
      </c>
      <c r="B253" t="inlineStr">
        <is>
          <t>Senior Design Engineer</t>
        </is>
      </c>
      <c r="C253" t="inlineStr">
        <is>
          <t>NXP Semiconductors</t>
        </is>
      </c>
      <c r="D253" t="inlineStr">
        <is>
          <t>Noida, Uttar Pradesh, India</t>
        </is>
      </c>
      <c r="E253" t="inlineStr">
        <is>
          <t>Noida</t>
        </is>
      </c>
      <c r="F253" t="inlineStr">
        <is>
          <t>Mid</t>
        </is>
      </c>
      <c r="G253" t="inlineStr">
        <is>
          <t>22 hours ago</t>
        </is>
      </c>
      <c r="H253">
        <f>HYPERLINK("https://in.linkedin.com/jobs/view/senior-design-engineer-at-nxp-semiconductors-4304002166", "Open Job")</f>
        <v/>
      </c>
      <c r="I253" t="inlineStr">
        <is>
          <t>2026-03-14 13:58</t>
        </is>
      </c>
    </row>
    <row r="254">
      <c r="A254" t="inlineStr">
        <is>
          <t>LinkedIn</t>
        </is>
      </c>
      <c r="B254" t="inlineStr">
        <is>
          <t>IT Program Manager - R&amp;D IT</t>
        </is>
      </c>
      <c r="C254" t="inlineStr">
        <is>
          <t>NXP Semiconductors</t>
        </is>
      </c>
      <c r="D254" t="inlineStr">
        <is>
          <t>Noida, Uttar Pradesh, India</t>
        </is>
      </c>
      <c r="E254" t="inlineStr">
        <is>
          <t>Noida</t>
        </is>
      </c>
      <c r="F254" t="inlineStr">
        <is>
          <t>Mid</t>
        </is>
      </c>
      <c r="G254" t="inlineStr">
        <is>
          <t>22 hours ago</t>
        </is>
      </c>
      <c r="H254">
        <f>HYPERLINK("https://in.linkedin.com/jobs/view/it-program-manager-r-d-it-at-nxp-semiconductors-4375164311", "Open Job")</f>
        <v/>
      </c>
      <c r="I254" t="inlineStr">
        <is>
          <t>2026-03-14 13:58</t>
        </is>
      </c>
    </row>
    <row r="255">
      <c r="A255" t="inlineStr">
        <is>
          <t>LinkedIn</t>
        </is>
      </c>
      <c r="B255" t="inlineStr">
        <is>
          <t>Product Designer I</t>
        </is>
      </c>
      <c r="C255" t="inlineStr">
        <is>
          <t>Brightly Software</t>
        </is>
      </c>
      <c r="D255" t="inlineStr">
        <is>
          <t>Noida, Uttar Pradesh, India</t>
        </is>
      </c>
      <c r="E255" t="inlineStr">
        <is>
          <t>Noida</t>
        </is>
      </c>
      <c r="F255" t="inlineStr">
        <is>
          <t>Mid</t>
        </is>
      </c>
      <c r="G255" t="inlineStr">
        <is>
          <t>14 hours ago</t>
        </is>
      </c>
      <c r="H255">
        <f>HYPERLINK("https://in.linkedin.com/jobs/view/product-designer-i-at-brightly-software-4374092675", "Open Job")</f>
        <v/>
      </c>
      <c r="I255" t="inlineStr">
        <is>
          <t>2026-03-14 13:58</t>
        </is>
      </c>
    </row>
    <row r="256">
      <c r="A256" t="inlineStr">
        <is>
          <t>LinkedIn</t>
        </is>
      </c>
      <c r="B256" t="inlineStr">
        <is>
          <t>Software Development Engineer in Test</t>
        </is>
      </c>
      <c r="C256" t="inlineStr">
        <is>
          <t>ISS Market Intelligence</t>
        </is>
      </c>
      <c r="D256" t="inlineStr">
        <is>
          <t>Gurgaon, Haryana, India</t>
        </is>
      </c>
      <c r="E256" t="inlineStr">
        <is>
          <t>Noida</t>
        </is>
      </c>
      <c r="F256" t="inlineStr">
        <is>
          <t>Mid</t>
        </is>
      </c>
      <c r="G256" t="inlineStr">
        <is>
          <t>18 hours ago</t>
        </is>
      </c>
      <c r="H256">
        <f>HYPERLINK("https://in.linkedin.com/jobs/view/software-development-engineer-in-test-at-iss-market-intelligence-4339209681", "Open Job")</f>
        <v/>
      </c>
      <c r="I256" t="inlineStr">
        <is>
          <t>2026-03-14 13:58</t>
        </is>
      </c>
    </row>
    <row r="257">
      <c r="A257" t="inlineStr">
        <is>
          <t>LinkedIn</t>
        </is>
      </c>
      <c r="B257" t="inlineStr">
        <is>
          <t>Senior SDET</t>
        </is>
      </c>
      <c r="C257" t="inlineStr">
        <is>
          <t>Sprinklr</t>
        </is>
      </c>
      <c r="D257" t="inlineStr">
        <is>
          <t>Gurgaon, Haryana, India</t>
        </is>
      </c>
      <c r="E257" t="inlineStr">
        <is>
          <t>Noida</t>
        </is>
      </c>
      <c r="F257" t="inlineStr">
        <is>
          <t>Mid</t>
        </is>
      </c>
      <c r="G257" t="inlineStr">
        <is>
          <t>22 hours ago</t>
        </is>
      </c>
      <c r="H257">
        <f>HYPERLINK("https://in.linkedin.com/jobs/view/senior-sdet-at-sprinklr-4375407017", "Open Job")</f>
        <v/>
      </c>
      <c r="I257" t="inlineStr">
        <is>
          <t>2026-03-14 13:58</t>
        </is>
      </c>
    </row>
    <row r="258">
      <c r="A258" t="inlineStr">
        <is>
          <t>LinkedIn</t>
        </is>
      </c>
      <c r="B258" t="inlineStr">
        <is>
          <t>Branch Manager</t>
        </is>
      </c>
      <c r="C258" t="inlineStr">
        <is>
          <t>IDFC FIRST Bank</t>
        </is>
      </c>
      <c r="D258" t="inlineStr">
        <is>
          <t>Bawana, Delhi, India</t>
        </is>
      </c>
      <c r="E258" t="inlineStr">
        <is>
          <t>Noida</t>
        </is>
      </c>
      <c r="F258" t="inlineStr">
        <is>
          <t>Mid</t>
        </is>
      </c>
      <c r="G258" t="inlineStr">
        <is>
          <t>18 hours ago</t>
        </is>
      </c>
      <c r="H258">
        <f>HYPERLINK("https://in.linkedin.com/jobs/view/branch-manager-at-idfc-first-bank-4324555949", "Open Job")</f>
        <v/>
      </c>
      <c r="I258" t="inlineStr">
        <is>
          <t>2026-03-14 13:58</t>
        </is>
      </c>
    </row>
    <row r="259">
      <c r="A259" t="inlineStr">
        <is>
          <t>LinkedIn</t>
        </is>
      </c>
      <c r="B259" t="inlineStr">
        <is>
          <t>Senior Software Engineer</t>
        </is>
      </c>
      <c r="C259" t="inlineStr">
        <is>
          <t>SBS</t>
        </is>
      </c>
      <c r="D259" t="inlineStr">
        <is>
          <t>Noida, Uttar Pradesh, India</t>
        </is>
      </c>
      <c r="E259" t="inlineStr">
        <is>
          <t>Noida</t>
        </is>
      </c>
      <c r="F259" t="inlineStr">
        <is>
          <t>Mid</t>
        </is>
      </c>
      <c r="G259" t="inlineStr">
        <is>
          <t>20 hours ago</t>
        </is>
      </c>
      <c r="H259">
        <f>HYPERLINK("https://in.linkedin.com/jobs/view/senior-software-engineer-at-sbs-4385333788", "Open Job")</f>
        <v/>
      </c>
      <c r="I259" t="inlineStr">
        <is>
          <t>2026-03-14 13:58</t>
        </is>
      </c>
    </row>
    <row r="260">
      <c r="A260" t="inlineStr">
        <is>
          <t>LinkedIn</t>
        </is>
      </c>
      <c r="B260" t="inlineStr">
        <is>
          <t>Account Director, Digital Natives</t>
        </is>
      </c>
      <c r="C260" t="inlineStr">
        <is>
          <t>OpenAI</t>
        </is>
      </c>
      <c r="D260" t="inlineStr">
        <is>
          <t>Greater Delhi Area</t>
        </is>
      </c>
      <c r="E260" t="inlineStr">
        <is>
          <t>Noida</t>
        </is>
      </c>
      <c r="F260" t="inlineStr">
        <is>
          <t>Mid</t>
        </is>
      </c>
      <c r="G260" t="inlineStr">
        <is>
          <t>18 hours ago</t>
        </is>
      </c>
      <c r="H260">
        <f>HYPERLINK("https://in.linkedin.com/jobs/view/account-director-digital-natives-at-openai-4347615230", "Open Job")</f>
        <v/>
      </c>
      <c r="I260" t="inlineStr">
        <is>
          <t>2026-03-14 13:58</t>
        </is>
      </c>
    </row>
    <row r="261">
      <c r="A261" t="inlineStr">
        <is>
          <t>LinkedIn</t>
        </is>
      </c>
      <c r="B261" t="inlineStr">
        <is>
          <t>Technical Support Engineer - Graphics</t>
        </is>
      </c>
      <c r="C261" t="inlineStr">
        <is>
          <t>Vizrt</t>
        </is>
      </c>
      <c r="D261" t="inlineStr">
        <is>
          <t>Delhi, India</t>
        </is>
      </c>
      <c r="E261" t="inlineStr">
        <is>
          <t>Noida</t>
        </is>
      </c>
      <c r="F261" t="inlineStr">
        <is>
          <t>Mid</t>
        </is>
      </c>
      <c r="G261" t="inlineStr">
        <is>
          <t>22 hours ago</t>
        </is>
      </c>
      <c r="H261">
        <f>HYPERLINK("https://in.linkedin.com/jobs/view/technical-support-engineer-graphics-at-vizrt-4375145715", "Open Job")</f>
        <v/>
      </c>
      <c r="I261" t="inlineStr">
        <is>
          <t>2026-03-14 13:58</t>
        </is>
      </c>
    </row>
    <row r="262">
      <c r="A262" t="inlineStr">
        <is>
          <t>LinkedIn</t>
        </is>
      </c>
      <c r="B262" t="inlineStr">
        <is>
          <t>Software Development Engineer 2- Full Stack developer</t>
        </is>
      </c>
      <c r="C262" t="inlineStr">
        <is>
          <t>Expedia Group</t>
        </is>
      </c>
      <c r="D262" t="inlineStr">
        <is>
          <t>Gurgaon, Haryana, India</t>
        </is>
      </c>
      <c r="E262" t="inlineStr">
        <is>
          <t>Noida</t>
        </is>
      </c>
      <c r="F262" t="inlineStr">
        <is>
          <t>Mid</t>
        </is>
      </c>
      <c r="G262" t="inlineStr">
        <is>
          <t>14 hours ago</t>
        </is>
      </c>
      <c r="H262">
        <f>HYPERLINK("https://in.linkedin.com/jobs/view/software-development-engineer-2-full-stack-developer-at-expedia-group-4384261683", "Open Job")</f>
        <v/>
      </c>
      <c r="I262" t="inlineStr">
        <is>
          <t>2026-03-14 13:58</t>
        </is>
      </c>
    </row>
    <row r="263">
      <c r="A263" t="inlineStr">
        <is>
          <t>LinkedIn</t>
        </is>
      </c>
      <c r="B263" t="inlineStr">
        <is>
          <t>IoT(Internet of Things) Project Manager</t>
        </is>
      </c>
      <c r="C263" t="inlineStr">
        <is>
          <t>Weekday AI (YC W21)</t>
        </is>
      </c>
      <c r="D263" t="inlineStr">
        <is>
          <t>Delhi, India</t>
        </is>
      </c>
      <c r="E263" t="inlineStr">
        <is>
          <t>Noida</t>
        </is>
      </c>
      <c r="F263" t="inlineStr">
        <is>
          <t>Mid</t>
        </is>
      </c>
      <c r="G263" t="inlineStr">
        <is>
          <t>18 hours ago</t>
        </is>
      </c>
      <c r="H263">
        <f>HYPERLINK("https://in.linkedin.com/jobs/view/iot-internet-of-things-project-manager-at-weekday-ai-yc-w21-4385348995", "Open Job")</f>
        <v/>
      </c>
      <c r="I263" t="inlineStr">
        <is>
          <t>2026-03-14 13:58</t>
        </is>
      </c>
    </row>
    <row r="264">
      <c r="A264" t="inlineStr">
        <is>
          <t>LinkedIn</t>
        </is>
      </c>
      <c r="B264" t="inlineStr">
        <is>
          <t>Lead Software Engineer</t>
        </is>
      </c>
      <c r="C264" t="inlineStr">
        <is>
          <t>Adobe</t>
        </is>
      </c>
      <c r="D264" t="inlineStr">
        <is>
          <t>Noida, Uttar Pradesh, India</t>
        </is>
      </c>
      <c r="E264" t="inlineStr">
        <is>
          <t>Noida</t>
        </is>
      </c>
      <c r="F264" t="inlineStr">
        <is>
          <t>Mid</t>
        </is>
      </c>
      <c r="G264" t="inlineStr">
        <is>
          <t>22 hours ago</t>
        </is>
      </c>
      <c r="H264">
        <f>HYPERLINK("https://in.linkedin.com/jobs/view/lead-software-engineer-at-adobe-4384238718", "Open Job")</f>
        <v/>
      </c>
      <c r="I264" t="inlineStr">
        <is>
          <t>2026-03-14 13:58</t>
        </is>
      </c>
    </row>
    <row r="265">
      <c r="A265" t="inlineStr">
        <is>
          <t>LinkedIn</t>
        </is>
      </c>
      <c r="B265" t="inlineStr">
        <is>
          <t>Senior Software Developer 2</t>
        </is>
      </c>
      <c r="C265" t="inlineStr">
        <is>
          <t>SOTI</t>
        </is>
      </c>
      <c r="D265" t="inlineStr">
        <is>
          <t>Gurgaon, Haryana, India</t>
        </is>
      </c>
      <c r="E265" t="inlineStr">
        <is>
          <t>Noida</t>
        </is>
      </c>
      <c r="F265" t="inlineStr">
        <is>
          <t>Mid</t>
        </is>
      </c>
      <c r="G265" t="inlineStr">
        <is>
          <t>15 hours ago</t>
        </is>
      </c>
      <c r="H265">
        <f>HYPERLINK("https://in.linkedin.com/jobs/view/senior-software-developer-2-at-soti-4260073590", "Open Job")</f>
        <v/>
      </c>
      <c r="I265" t="inlineStr">
        <is>
          <t>2026-03-14 13:58</t>
        </is>
      </c>
    </row>
    <row r="266">
      <c r="A266" t="inlineStr">
        <is>
          <t>LinkedIn</t>
        </is>
      </c>
      <c r="B266" t="inlineStr">
        <is>
          <t>Software Development Engineer in Test</t>
        </is>
      </c>
      <c r="C266" t="inlineStr">
        <is>
          <t>LeadVenture®</t>
        </is>
      </c>
      <c r="D266" t="inlineStr">
        <is>
          <t>Gurgaon, Haryana, India</t>
        </is>
      </c>
      <c r="E266" t="inlineStr">
        <is>
          <t>Noida</t>
        </is>
      </c>
      <c r="F266" t="inlineStr">
        <is>
          <t>Mid</t>
        </is>
      </c>
      <c r="G266" t="inlineStr">
        <is>
          <t>19 hours ago</t>
        </is>
      </c>
      <c r="H266">
        <f>HYPERLINK("https://in.linkedin.com/jobs/view/software-development-engineer-in-test-at-leadventure%C2%AE-4374353416", "Open Job")</f>
        <v/>
      </c>
      <c r="I266" t="inlineStr">
        <is>
          <t>2026-03-14 13:58</t>
        </is>
      </c>
    </row>
    <row r="267">
      <c r="A267" t="inlineStr">
        <is>
          <t>LinkedIn</t>
        </is>
      </c>
      <c r="B267" t="inlineStr">
        <is>
          <t>Software Engineer 2</t>
        </is>
      </c>
      <c r="C267" t="inlineStr">
        <is>
          <t>Microsoft</t>
        </is>
      </c>
      <c r="D267" t="inlineStr">
        <is>
          <t>Noida, Uttar Pradesh, India</t>
        </is>
      </c>
      <c r="E267" t="inlineStr">
        <is>
          <t>Noida</t>
        </is>
      </c>
      <c r="F267" t="inlineStr">
        <is>
          <t>Seniority level Not Applicable</t>
        </is>
      </c>
      <c r="G267" t="inlineStr">
        <is>
          <t>15 hours ago</t>
        </is>
      </c>
      <c r="H267">
        <f>HYPERLINK("https://in.linkedin.com/jobs/view/software-engineer-2-at-microsoft-4328738789", "Open Job")</f>
        <v/>
      </c>
      <c r="I267" t="inlineStr">
        <is>
          <t>2026-03-14 13:58</t>
        </is>
      </c>
    </row>
    <row r="268">
      <c r="A268" t="inlineStr">
        <is>
          <t>LinkedIn</t>
        </is>
      </c>
      <c r="B268" t="inlineStr">
        <is>
          <t>Software Engineer</t>
        </is>
      </c>
      <c r="C268" t="inlineStr">
        <is>
          <t>Microsoft</t>
        </is>
      </c>
      <c r="D268" t="inlineStr">
        <is>
          <t>Noida, Uttar Pradesh, India</t>
        </is>
      </c>
      <c r="E268" t="inlineStr">
        <is>
          <t>Noida</t>
        </is>
      </c>
      <c r="F268" t="inlineStr">
        <is>
          <t>Seniority level Not Applicable</t>
        </is>
      </c>
      <c r="G268" t="inlineStr">
        <is>
          <t>14 hours ago</t>
        </is>
      </c>
      <c r="H268">
        <f>HYPERLINK("https://in.linkedin.com/jobs/view/software-engineer-at-microsoft-4385529036", "Open Job")</f>
        <v/>
      </c>
      <c r="I268" t="inlineStr">
        <is>
          <t>2026-03-14 13:58</t>
        </is>
      </c>
    </row>
    <row r="269">
      <c r="A269" t="inlineStr">
        <is>
          <t>LinkedIn</t>
        </is>
      </c>
      <c r="B269" t="inlineStr">
        <is>
          <t>AI/Ml Software Engineer in Noida, Ghaziabad</t>
        </is>
      </c>
      <c r="C269" t="inlineStr">
        <is>
          <t>IG Defence</t>
        </is>
      </c>
      <c r="D269" t="inlineStr">
        <is>
          <t>Noida, Uttar Pradesh, India</t>
        </is>
      </c>
      <c r="E269" t="inlineStr">
        <is>
          <t>Noida</t>
        </is>
      </c>
      <c r="F269" t="inlineStr">
        <is>
          <t>Seniority level Not Applicable</t>
        </is>
      </c>
      <c r="G269" t="inlineStr">
        <is>
          <t>8 hours ago</t>
        </is>
      </c>
      <c r="H269">
        <f>HYPERLINK("https://in.linkedin.com/jobs/view/ai-ml-software-engineer-in-noida-ghaziabad-at-ig-defence-4385590067", "Open Job")</f>
        <v/>
      </c>
      <c r="I269" t="inlineStr">
        <is>
          <t>2026-03-14 13:58</t>
        </is>
      </c>
    </row>
    <row r="270">
      <c r="A270" t="inlineStr">
        <is>
          <t>LinkedIn</t>
        </is>
      </c>
      <c r="B270" t="inlineStr">
        <is>
          <t>Senior Software Engineer</t>
        </is>
      </c>
      <c r="C270" t="inlineStr">
        <is>
          <t>Microsoft</t>
        </is>
      </c>
      <c r="D270" t="inlineStr">
        <is>
          <t>Noida, Uttar Pradesh, India</t>
        </is>
      </c>
      <c r="E270" t="inlineStr">
        <is>
          <t>Noida</t>
        </is>
      </c>
      <c r="F270" t="inlineStr">
        <is>
          <t>Seniority level Not Applicable</t>
        </is>
      </c>
      <c r="G270" t="inlineStr">
        <is>
          <t>9 hours ago</t>
        </is>
      </c>
      <c r="H270">
        <f>HYPERLINK("https://in.linkedin.com/jobs/view/senior-software-engineer-at-microsoft-4385570355", "Open Job")</f>
        <v/>
      </c>
      <c r="I270" t="inlineStr">
        <is>
          <t>2026-03-14 13:58</t>
        </is>
      </c>
    </row>
    <row r="271">
      <c r="A271" t="inlineStr">
        <is>
          <t>LinkedIn</t>
        </is>
      </c>
      <c r="B271" t="inlineStr">
        <is>
          <t>Software Development Engineer III</t>
        </is>
      </c>
      <c r="C271" t="inlineStr">
        <is>
          <t>American Express Global Business Travel</t>
        </is>
      </c>
      <c r="D271" t="inlineStr">
        <is>
          <t>Gurgaon, Haryana, India</t>
        </is>
      </c>
      <c r="E271" t="inlineStr">
        <is>
          <t>Noida</t>
        </is>
      </c>
      <c r="F271" t="inlineStr">
        <is>
          <t>Seniority level Not Applicable</t>
        </is>
      </c>
      <c r="G271" t="inlineStr">
        <is>
          <t>23 hours ago</t>
        </is>
      </c>
      <c r="H271">
        <f>HYPERLINK("https://in.linkedin.com/jobs/view/software-development-engineer-iii-at-american-express-global-business-travel-4373151780", "Open Job")</f>
        <v/>
      </c>
      <c r="I271" t="inlineStr">
        <is>
          <t>2026-03-14 13:58</t>
        </is>
      </c>
    </row>
    <row r="272">
      <c r="A272" t="inlineStr">
        <is>
          <t>LinkedIn</t>
        </is>
      </c>
      <c r="B272" t="inlineStr">
        <is>
          <t>Software Development Engineer – Web Platforms</t>
        </is>
      </c>
      <c r="C272" t="inlineStr">
        <is>
          <t>Weekday (YC W21)</t>
        </is>
      </c>
      <c r="D272" t="inlineStr">
        <is>
          <t>Delhi, Delhi, India</t>
        </is>
      </c>
      <c r="E272" t="inlineStr">
        <is>
          <t>Noida</t>
        </is>
      </c>
      <c r="F272" t="inlineStr">
        <is>
          <t>Seniority level Not Applicable</t>
        </is>
      </c>
      <c r="G272" t="inlineStr">
        <is>
          <t>19 hours ago</t>
        </is>
      </c>
      <c r="H272">
        <f>HYPERLINK("https://in.linkedin.com/jobs/view/software-development-engineer-%E2%80%93-web-platforms-at-weekday-yc-w21-4343783382", "Open Job")</f>
        <v/>
      </c>
      <c r="I272" t="inlineStr">
        <is>
          <t>2026-03-14 13:58</t>
        </is>
      </c>
    </row>
    <row r="273">
      <c r="A273" t="inlineStr">
        <is>
          <t>LinkedIn</t>
        </is>
      </c>
      <c r="B273" t="inlineStr">
        <is>
          <t>Software Engineering IC4 - C++</t>
        </is>
      </c>
      <c r="C273" t="inlineStr">
        <is>
          <t>Microsoft</t>
        </is>
      </c>
      <c r="D273" t="inlineStr">
        <is>
          <t>Noida, Uttar Pradesh, India</t>
        </is>
      </c>
      <c r="E273" t="inlineStr">
        <is>
          <t>Noida</t>
        </is>
      </c>
      <c r="F273" t="inlineStr">
        <is>
          <t>Seniority level Not Applicable</t>
        </is>
      </c>
      <c r="G273" t="inlineStr">
        <is>
          <t>18 hours ago</t>
        </is>
      </c>
      <c r="H273">
        <f>HYPERLINK("https://in.linkedin.com/jobs/view/software-engineering-ic4-c%2B%2B-at-microsoft-4385351575", "Open Job")</f>
        <v/>
      </c>
      <c r="I273" t="inlineStr">
        <is>
          <t>2026-03-14 13:58</t>
        </is>
      </c>
    </row>
    <row r="274">
      <c r="A274" t="inlineStr">
        <is>
          <t>LinkedIn</t>
        </is>
      </c>
      <c r="B274" t="inlineStr">
        <is>
          <t>Chief Technology Officer</t>
        </is>
      </c>
      <c r="C274" t="inlineStr">
        <is>
          <t>TLC DigiTech Pvt. Ltd.</t>
        </is>
      </c>
      <c r="D274" t="inlineStr">
        <is>
          <t>Delhi, India</t>
        </is>
      </c>
      <c r="E274" t="inlineStr">
        <is>
          <t>Noida</t>
        </is>
      </c>
      <c r="F274" t="inlineStr">
        <is>
          <t>Seniority level Not Applicable</t>
        </is>
      </c>
      <c r="G274" t="inlineStr">
        <is>
          <t>21 hours ago</t>
        </is>
      </c>
      <c r="H274">
        <f>HYPERLINK("https://in.linkedin.com/jobs/view/chief-technology-officer-at-tlc-digitech-pvt-ltd-4384254003", "Open Job")</f>
        <v/>
      </c>
      <c r="I274" t="inlineStr">
        <is>
          <t>2026-03-14 13:58</t>
        </is>
      </c>
    </row>
    <row r="275">
      <c r="A275" t="inlineStr">
        <is>
          <t>LinkedIn</t>
        </is>
      </c>
      <c r="B275" t="inlineStr">
        <is>
          <t>Technical Support Engineer</t>
        </is>
      </c>
      <c r="C275" t="inlineStr">
        <is>
          <t>Nokia</t>
        </is>
      </c>
      <c r="D275" t="inlineStr">
        <is>
          <t>Noida, Uttar Pradesh, India</t>
        </is>
      </c>
      <c r="E275" t="inlineStr">
        <is>
          <t>Noida</t>
        </is>
      </c>
      <c r="F275" t="inlineStr">
        <is>
          <t>Seniority level Not Applicable</t>
        </is>
      </c>
      <c r="G275" t="inlineStr">
        <is>
          <t>19 hours ago</t>
        </is>
      </c>
      <c r="H275">
        <f>HYPERLINK("https://in.linkedin.com/jobs/view/technical-support-engineer-at-nokia-4356609441", "Open Job")</f>
        <v/>
      </c>
      <c r="I275" t="inlineStr">
        <is>
          <t>2026-03-14 13:58</t>
        </is>
      </c>
    </row>
    <row r="276">
      <c r="A276" t="inlineStr">
        <is>
          <t>LinkedIn</t>
        </is>
      </c>
      <c r="B276" t="inlineStr">
        <is>
          <t>Asistant Manager- Chillers</t>
        </is>
      </c>
      <c r="C276" t="inlineStr">
        <is>
          <t>Carrier</t>
        </is>
      </c>
      <c r="D276" t="inlineStr">
        <is>
          <t>Gurgaon, Haryana, India</t>
        </is>
      </c>
      <c r="E276" t="inlineStr">
        <is>
          <t>Noida</t>
        </is>
      </c>
      <c r="F276" t="inlineStr">
        <is>
          <t>Seniority level Not Applicable</t>
        </is>
      </c>
      <c r="G276" t="inlineStr">
        <is>
          <t>12 hours ago</t>
        </is>
      </c>
      <c r="H276">
        <f>HYPERLINK("https://in.linkedin.com/jobs/view/asistant-manager-chillers-at-carrier-4383232206", "Open Job")</f>
        <v/>
      </c>
      <c r="I276" t="inlineStr">
        <is>
          <t>2026-03-14 13:58</t>
        </is>
      </c>
    </row>
    <row r="277">
      <c r="A277" t="inlineStr">
        <is>
          <t>LinkedIn</t>
        </is>
      </c>
      <c r="B277" t="inlineStr">
        <is>
          <t>Asistant Manager- Chillers</t>
        </is>
      </c>
      <c r="C277" t="inlineStr">
        <is>
          <t>Carrier</t>
        </is>
      </c>
      <c r="D277" t="inlineStr">
        <is>
          <t>Gurgaon, Haryana, India</t>
        </is>
      </c>
      <c r="E277" t="inlineStr">
        <is>
          <t>Noida</t>
        </is>
      </c>
      <c r="F277" t="inlineStr">
        <is>
          <t>Seniority level Not Applicable</t>
        </is>
      </c>
      <c r="G277" t="inlineStr">
        <is>
          <t>12 hours ago</t>
        </is>
      </c>
      <c r="H277">
        <f>HYPERLINK("https://in.linkedin.com/jobs/view/asistant-manager-chillers-at-carrier-4383230244", "Open Job")</f>
        <v/>
      </c>
      <c r="I277" t="inlineStr">
        <is>
          <t>2026-03-14 13:58</t>
        </is>
      </c>
    </row>
    <row r="278">
      <c r="A278" t="inlineStr">
        <is>
          <t>LinkedIn</t>
        </is>
      </c>
      <c r="B278" t="inlineStr">
        <is>
          <t>Software Engineer</t>
        </is>
      </c>
      <c r="C278" t="inlineStr">
        <is>
          <t>Solera Holdings, LLC.</t>
        </is>
      </c>
      <c r="D278" t="inlineStr">
        <is>
          <t>Hyderabad, Telangana, India</t>
        </is>
      </c>
      <c r="E278" t="inlineStr">
        <is>
          <t>Hyderabad</t>
        </is>
      </c>
      <c r="F278" t="inlineStr">
        <is>
          <t>Entry</t>
        </is>
      </c>
      <c r="G278" t="inlineStr">
        <is>
          <t>21 hours ago</t>
        </is>
      </c>
      <c r="H278">
        <f>HYPERLINK("https://in.linkedin.com/jobs/view/software-engineer-at-solera-holdings-llc-4374083195", "Open Job")</f>
        <v/>
      </c>
      <c r="I278" t="inlineStr">
        <is>
          <t>2026-03-14 13:58</t>
        </is>
      </c>
    </row>
    <row r="279">
      <c r="A279" t="inlineStr">
        <is>
          <t>LinkedIn</t>
        </is>
      </c>
      <c r="B279" t="inlineStr">
        <is>
          <t>Software Engineer - PA2025MSPOFF165</t>
        </is>
      </c>
      <c r="C279" t="inlineStr">
        <is>
          <t>SS&amp;C Technologies</t>
        </is>
      </c>
      <c r="D279" t="inlineStr">
        <is>
          <t>Hyderabad, Telangana, India</t>
        </is>
      </c>
      <c r="E279" t="inlineStr">
        <is>
          <t>Hyderabad</t>
        </is>
      </c>
      <c r="F279" t="inlineStr">
        <is>
          <t>Entry</t>
        </is>
      </c>
      <c r="G279" t="inlineStr">
        <is>
          <t>19 hours ago</t>
        </is>
      </c>
      <c r="H279">
        <f>HYPERLINK("https://in.linkedin.com/jobs/view/software-engineer-pa2025mspoff165-at-ss-c-technologies-4314851342", "Open Job")</f>
        <v/>
      </c>
      <c r="I279" t="inlineStr">
        <is>
          <t>2026-03-14 13:58</t>
        </is>
      </c>
    </row>
    <row r="280">
      <c r="A280" t="inlineStr">
        <is>
          <t>LinkedIn</t>
        </is>
      </c>
      <c r="B280" t="inlineStr">
        <is>
          <t>Maps Specialist</t>
        </is>
      </c>
      <c r="C280" t="inlineStr">
        <is>
          <t>DoorDash</t>
        </is>
      </c>
      <c r="D280" t="inlineStr">
        <is>
          <t>Hyderabad, Telangana, India</t>
        </is>
      </c>
      <c r="E280" t="inlineStr">
        <is>
          <t>Hyderabad</t>
        </is>
      </c>
      <c r="F280" t="inlineStr">
        <is>
          <t>Entry</t>
        </is>
      </c>
      <c r="G280" t="inlineStr">
        <is>
          <t>23 hours ago</t>
        </is>
      </c>
      <c r="H280">
        <f>HYPERLINK("https://in.linkedin.com/jobs/view/maps-specialist-at-doordash-4205780896", "Open Job")</f>
        <v/>
      </c>
      <c r="I280" t="inlineStr">
        <is>
          <t>2026-03-14 13:58</t>
        </is>
      </c>
    </row>
    <row r="281">
      <c r="A281" t="inlineStr">
        <is>
          <t>LinkedIn</t>
        </is>
      </c>
      <c r="B281" t="inlineStr">
        <is>
          <t>Software engineer II</t>
        </is>
      </c>
      <c r="C281" t="inlineStr">
        <is>
          <t>Cadence</t>
        </is>
      </c>
      <c r="D281" t="inlineStr">
        <is>
          <t>Hyderabad, Telangana, India</t>
        </is>
      </c>
      <c r="E281" t="inlineStr">
        <is>
          <t>Hyderabad</t>
        </is>
      </c>
      <c r="F281" t="inlineStr">
        <is>
          <t>Entry</t>
        </is>
      </c>
      <c r="G281" t="inlineStr">
        <is>
          <t>14 hours ago</t>
        </is>
      </c>
      <c r="H281">
        <f>HYPERLINK("https://in.linkedin.com/jobs/view/software-engineer-ii-at-cadence-4246255205", "Open Job")</f>
        <v/>
      </c>
      <c r="I281" t="inlineStr">
        <is>
          <t>2026-03-14 13:58</t>
        </is>
      </c>
    </row>
    <row r="282">
      <c r="A282" t="inlineStr">
        <is>
          <t>LinkedIn</t>
        </is>
      </c>
      <c r="B282" t="inlineStr">
        <is>
          <t>QA and Triage Specialist</t>
        </is>
      </c>
      <c r="C282" t="inlineStr">
        <is>
          <t>DoorDash</t>
        </is>
      </c>
      <c r="D282" t="inlineStr">
        <is>
          <t>Hyderabad, Telangana, India</t>
        </is>
      </c>
      <c r="E282" t="inlineStr">
        <is>
          <t>Hyderabad</t>
        </is>
      </c>
      <c r="F282" t="inlineStr">
        <is>
          <t>Entry</t>
        </is>
      </c>
      <c r="G282" t="inlineStr">
        <is>
          <t>23 hours ago</t>
        </is>
      </c>
      <c r="H282">
        <f>HYPERLINK("https://in.linkedin.com/jobs/view/qa-and-triage-specialist-at-doordash-4186475173", "Open Job")</f>
        <v/>
      </c>
      <c r="I282" t="inlineStr">
        <is>
          <t>2026-03-14 13:58</t>
        </is>
      </c>
    </row>
    <row r="283">
      <c r="A283" t="inlineStr">
        <is>
          <t>LinkedIn</t>
        </is>
      </c>
      <c r="B283" t="inlineStr">
        <is>
          <t>Software Engineer (Framework), Ai &amp; Data Platforms</t>
        </is>
      </c>
      <c r="C283" t="inlineStr">
        <is>
          <t>Apple</t>
        </is>
      </c>
      <c r="D283" t="inlineStr">
        <is>
          <t>Hyderabad, Telangana, India</t>
        </is>
      </c>
      <c r="E283" t="inlineStr">
        <is>
          <t>Hyderabad</t>
        </is>
      </c>
      <c r="F283" t="inlineStr">
        <is>
          <t>Entry</t>
        </is>
      </c>
      <c r="G283" t="inlineStr">
        <is>
          <t>17 hours ago</t>
        </is>
      </c>
      <c r="H283">
        <f>HYPERLINK("https://in.linkedin.com/jobs/view/software-engineer-framework-ai-data-platforms-at-apple-4385381218", "Open Job")</f>
        <v/>
      </c>
      <c r="I283" t="inlineStr">
        <is>
          <t>2026-03-14 13:58</t>
        </is>
      </c>
    </row>
    <row r="284">
      <c r="A284" t="inlineStr">
        <is>
          <t>LinkedIn</t>
        </is>
      </c>
      <c r="B284" t="inlineStr">
        <is>
          <t>Business Analyst</t>
        </is>
      </c>
      <c r="C284" t="inlineStr">
        <is>
          <t>Thrymr Software</t>
        </is>
      </c>
      <c r="D284" t="inlineStr">
        <is>
          <t>Hyderabad, Telangana, India</t>
        </is>
      </c>
      <c r="E284" t="inlineStr">
        <is>
          <t>Hyderabad</t>
        </is>
      </c>
      <c r="F284" t="inlineStr">
        <is>
          <t>Entry</t>
        </is>
      </c>
      <c r="G284" t="inlineStr">
        <is>
          <t>18 hours ago</t>
        </is>
      </c>
      <c r="H284">
        <f>HYPERLINK("https://in.linkedin.com/jobs/view/business-analyst-at-thrymr-software-4384272027", "Open Job")</f>
        <v/>
      </c>
      <c r="I284" t="inlineStr">
        <is>
          <t>2026-03-14 13:58</t>
        </is>
      </c>
    </row>
    <row r="285">
      <c r="A285" t="inlineStr">
        <is>
          <t>LinkedIn</t>
        </is>
      </c>
      <c r="B285" t="inlineStr">
        <is>
          <t>US IT RECRUITERS - FRESHERS</t>
        </is>
      </c>
      <c r="C285" t="inlineStr">
        <is>
          <t>PETADATA</t>
        </is>
      </c>
      <c r="D285" t="inlineStr">
        <is>
          <t>Hyderabad, Telangana, India</t>
        </is>
      </c>
      <c r="E285" t="inlineStr">
        <is>
          <t>Hyderabad</t>
        </is>
      </c>
      <c r="F285" t="inlineStr">
        <is>
          <t>Entry</t>
        </is>
      </c>
      <c r="G285" t="inlineStr">
        <is>
          <t>16 hours ago</t>
        </is>
      </c>
      <c r="H285">
        <f>HYPERLINK("https://in.linkedin.com/jobs/view/us-it-recruiters-freshers-at-petadata-4383132871", "Open Job")</f>
        <v/>
      </c>
      <c r="I285" t="inlineStr">
        <is>
          <t>2026-03-14 13:58</t>
        </is>
      </c>
    </row>
    <row r="286">
      <c r="A286" t="inlineStr">
        <is>
          <t>LinkedIn</t>
        </is>
      </c>
      <c r="B286" t="inlineStr">
        <is>
          <t>MERN Stack Developer</t>
        </is>
      </c>
      <c r="C286" t="inlineStr">
        <is>
          <t>BITSTEK CONSULTING</t>
        </is>
      </c>
      <c r="D286" t="inlineStr">
        <is>
          <t>Hyderabad, Telangana, India</t>
        </is>
      </c>
      <c r="E286" t="inlineStr">
        <is>
          <t>Hyderabad</t>
        </is>
      </c>
      <c r="F286" t="inlineStr">
        <is>
          <t>Entry</t>
        </is>
      </c>
      <c r="G286" t="inlineStr">
        <is>
          <t>19 hours ago</t>
        </is>
      </c>
      <c r="H286">
        <f>HYPERLINK("https://in.linkedin.com/jobs/view/mern-stack-developer-at-bitstek-consulting-4374919078", "Open Job")</f>
        <v/>
      </c>
      <c r="I286" t="inlineStr">
        <is>
          <t>2026-03-14 13:58</t>
        </is>
      </c>
    </row>
    <row r="287">
      <c r="A287" t="inlineStr">
        <is>
          <t>LinkedIn</t>
        </is>
      </c>
      <c r="B287" t="inlineStr">
        <is>
          <t>Technical Support Engineer</t>
        </is>
      </c>
      <c r="C287" t="inlineStr">
        <is>
          <t>Arrise Solutions (India) Pvt. Ltd.</t>
        </is>
      </c>
      <c r="D287" t="inlineStr">
        <is>
          <t>Hyderabad, Telangana, India</t>
        </is>
      </c>
      <c r="E287" t="inlineStr">
        <is>
          <t>Hyderabad</t>
        </is>
      </c>
      <c r="F287" t="inlineStr">
        <is>
          <t>Entry</t>
        </is>
      </c>
      <c r="G287" t="inlineStr">
        <is>
          <t>15 hours ago</t>
        </is>
      </c>
      <c r="H287">
        <f>HYPERLINK("https://in.linkedin.com/jobs/view/technical-support-engineer-at-arrise-solutions-india-pvt-ltd-4344558010", "Open Job")</f>
        <v/>
      </c>
      <c r="I287" t="inlineStr">
        <is>
          <t>2026-03-14 13:58</t>
        </is>
      </c>
    </row>
    <row r="288">
      <c r="A288" t="inlineStr">
        <is>
          <t>LinkedIn</t>
        </is>
      </c>
      <c r="B288" t="inlineStr">
        <is>
          <t>Automation Developer</t>
        </is>
      </c>
      <c r="C288" t="inlineStr">
        <is>
          <t>IFF</t>
        </is>
      </c>
      <c r="D288" t="inlineStr">
        <is>
          <t>Greater Hyderabad Area</t>
        </is>
      </c>
      <c r="E288" t="inlineStr">
        <is>
          <t>Hyderabad</t>
        </is>
      </c>
      <c r="F288" t="inlineStr">
        <is>
          <t>Entry</t>
        </is>
      </c>
      <c r="G288" t="inlineStr">
        <is>
          <t>21 hours ago</t>
        </is>
      </c>
      <c r="H288">
        <f>HYPERLINK("https://in.linkedin.com/jobs/view/automation-developer-at-iff-4375178455", "Open Job")</f>
        <v/>
      </c>
      <c r="I288" t="inlineStr">
        <is>
          <t>2026-03-14 13:58</t>
        </is>
      </c>
    </row>
    <row r="289">
      <c r="A289" t="inlineStr">
        <is>
          <t>LinkedIn</t>
        </is>
      </c>
      <c r="B289" t="inlineStr">
        <is>
          <t>Automation Developer</t>
        </is>
      </c>
      <c r="C289" t="inlineStr">
        <is>
          <t>IFF</t>
        </is>
      </c>
      <c r="D289" t="inlineStr">
        <is>
          <t>Greater Hyderabad Area</t>
        </is>
      </c>
      <c r="E289" t="inlineStr">
        <is>
          <t>Hyderabad</t>
        </is>
      </c>
      <c r="F289" t="inlineStr">
        <is>
          <t>Entry</t>
        </is>
      </c>
      <c r="G289" t="inlineStr">
        <is>
          <t>22 hours ago</t>
        </is>
      </c>
      <c r="H289">
        <f>HYPERLINK("https://in.linkedin.com/jobs/view/automation-developer-at-iff-4375174782", "Open Job")</f>
        <v/>
      </c>
      <c r="I289" t="inlineStr">
        <is>
          <t>2026-03-14 13:58</t>
        </is>
      </c>
    </row>
    <row r="290">
      <c r="A290" t="inlineStr">
        <is>
          <t>LinkedIn</t>
        </is>
      </c>
      <c r="B290" t="inlineStr">
        <is>
          <t>Associate Engineer</t>
        </is>
      </c>
      <c r="C290" t="inlineStr">
        <is>
          <t>Otis Elevator Co.</t>
        </is>
      </c>
      <c r="D290" t="inlineStr">
        <is>
          <t>Hyderabad, Telangana, India</t>
        </is>
      </c>
      <c r="E290" t="inlineStr">
        <is>
          <t>Hyderabad</t>
        </is>
      </c>
      <c r="F290" t="inlineStr">
        <is>
          <t>Entry</t>
        </is>
      </c>
      <c r="G290" t="inlineStr">
        <is>
          <t>19 hours ago</t>
        </is>
      </c>
      <c r="H290">
        <f>HYPERLINK("https://in.linkedin.com/jobs/view/associate-engineer-at-otis-elevator-co-4382407626", "Open Job")</f>
        <v/>
      </c>
      <c r="I290" t="inlineStr">
        <is>
          <t>2026-03-14 13:58</t>
        </is>
      </c>
    </row>
    <row r="291">
      <c r="A291" t="inlineStr">
        <is>
          <t>LinkedIn</t>
        </is>
      </c>
      <c r="B291" t="inlineStr">
        <is>
          <t>Python AI</t>
        </is>
      </c>
      <c r="C291" t="inlineStr">
        <is>
          <t>CGI</t>
        </is>
      </c>
      <c r="D291" t="inlineStr">
        <is>
          <t>Hyderabad, Telangana, India</t>
        </is>
      </c>
      <c r="E291" t="inlineStr">
        <is>
          <t>Hyderabad</t>
        </is>
      </c>
      <c r="F291" t="inlineStr">
        <is>
          <t>Entry</t>
        </is>
      </c>
      <c r="G291" t="inlineStr">
        <is>
          <t>12 hours ago</t>
        </is>
      </c>
      <c r="H291">
        <f>HYPERLINK("https://in.linkedin.com/jobs/view/python-ai-at-cgi-4385532756", "Open Job")</f>
        <v/>
      </c>
      <c r="I291" t="inlineStr">
        <is>
          <t>2026-03-14 13:58</t>
        </is>
      </c>
    </row>
    <row r="292">
      <c r="A292" t="inlineStr">
        <is>
          <t>LinkedIn</t>
        </is>
      </c>
      <c r="B292" t="inlineStr">
        <is>
          <t>Cloud Development Engineer</t>
        </is>
      </c>
      <c r="C292" t="inlineStr">
        <is>
          <t>Pegasystems</t>
        </is>
      </c>
      <c r="D292" t="inlineStr">
        <is>
          <t>Hyderabad, Telangana, India</t>
        </is>
      </c>
      <c r="E292" t="inlineStr">
        <is>
          <t>Hyderabad</t>
        </is>
      </c>
      <c r="F292" t="inlineStr">
        <is>
          <t>Entry</t>
        </is>
      </c>
      <c r="G292" t="inlineStr">
        <is>
          <t>19 hours ago</t>
        </is>
      </c>
      <c r="H292">
        <f>HYPERLINK("https://in.linkedin.com/jobs/view/cloud-development-engineer-at-pegasystems-4356416223", "Open Job")</f>
        <v/>
      </c>
      <c r="I292" t="inlineStr">
        <is>
          <t>2026-03-14 13:58</t>
        </is>
      </c>
    </row>
    <row r="293">
      <c r="A293" t="inlineStr">
        <is>
          <t>LinkedIn</t>
        </is>
      </c>
      <c r="B293" t="inlineStr">
        <is>
          <t>QA Automation Engineer with AI</t>
        </is>
      </c>
      <c r="C293" t="inlineStr">
        <is>
          <t>CGI</t>
        </is>
      </c>
      <c r="D293" t="inlineStr">
        <is>
          <t>Hyderabad, Telangana, India</t>
        </is>
      </c>
      <c r="E293" t="inlineStr">
        <is>
          <t>Hyderabad</t>
        </is>
      </c>
      <c r="F293" t="inlineStr">
        <is>
          <t>Entry</t>
        </is>
      </c>
      <c r="G293" t="inlineStr">
        <is>
          <t>12 hours ago</t>
        </is>
      </c>
      <c r="H293">
        <f>HYPERLINK("https://in.linkedin.com/jobs/view/qa-automation-engineer-with-ai-at-cgi-4385542411", "Open Job")</f>
        <v/>
      </c>
      <c r="I293" t="inlineStr">
        <is>
          <t>2026-03-14 13:58</t>
        </is>
      </c>
    </row>
    <row r="294">
      <c r="A294" t="inlineStr">
        <is>
          <t>LinkedIn</t>
        </is>
      </c>
      <c r="B294" t="inlineStr">
        <is>
          <t>Assistant Audit Executive</t>
        </is>
      </c>
      <c r="C294" t="inlineStr">
        <is>
          <t>M O J &amp; Associates</t>
        </is>
      </c>
      <c r="D294" t="inlineStr">
        <is>
          <t>Hyderabad, Telangana, India</t>
        </is>
      </c>
      <c r="E294" t="inlineStr">
        <is>
          <t>Hyderabad</t>
        </is>
      </c>
      <c r="F294" t="inlineStr">
        <is>
          <t>Entry</t>
        </is>
      </c>
      <c r="G294" t="inlineStr">
        <is>
          <t>19 hours ago</t>
        </is>
      </c>
      <c r="H294">
        <f>HYPERLINK("https://in.linkedin.com/jobs/view/assistant-audit-executive-at-m-o-j-associates-4383101862", "Open Job")</f>
        <v/>
      </c>
      <c r="I294" t="inlineStr">
        <is>
          <t>2026-03-14 13:58</t>
        </is>
      </c>
    </row>
    <row r="295">
      <c r="A295" t="inlineStr">
        <is>
          <t>LinkedIn</t>
        </is>
      </c>
      <c r="B295" t="inlineStr">
        <is>
          <t>TEST ENGINEER L3</t>
        </is>
      </c>
      <c r="C295" t="inlineStr">
        <is>
          <t>Wipro</t>
        </is>
      </c>
      <c r="D295" t="inlineStr">
        <is>
          <t>Hyderabad, Telangana, India</t>
        </is>
      </c>
      <c r="E295" t="inlineStr">
        <is>
          <t>Hyderabad</t>
        </is>
      </c>
      <c r="F295" t="inlineStr">
        <is>
          <t>Entry</t>
        </is>
      </c>
      <c r="G295" t="inlineStr">
        <is>
          <t>6 hours ago</t>
        </is>
      </c>
      <c r="H295">
        <f>HYPERLINK("https://in.linkedin.com/jobs/view/test-engineer-l3-at-wipro-4385598779", "Open Job")</f>
        <v/>
      </c>
      <c r="I295" t="inlineStr">
        <is>
          <t>2026-03-14 13:58</t>
        </is>
      </c>
    </row>
    <row r="296">
      <c r="A296" t="inlineStr">
        <is>
          <t>LinkedIn</t>
        </is>
      </c>
      <c r="B296" t="inlineStr">
        <is>
          <t>DEVELOPER L4</t>
        </is>
      </c>
      <c r="C296" t="inlineStr">
        <is>
          <t>Wipro</t>
        </is>
      </c>
      <c r="D296" t="inlineStr">
        <is>
          <t>Hyderabad, Telangana, India</t>
        </is>
      </c>
      <c r="E296" t="inlineStr">
        <is>
          <t>Hyderabad</t>
        </is>
      </c>
      <c r="F296" t="inlineStr">
        <is>
          <t>Entry</t>
        </is>
      </c>
      <c r="G296" t="inlineStr">
        <is>
          <t>5 hours ago</t>
        </is>
      </c>
      <c r="H296">
        <f>HYPERLINK("https://in.linkedin.com/jobs/view/developer-l4-at-wipro-4385821483", "Open Job")</f>
        <v/>
      </c>
      <c r="I296" t="inlineStr">
        <is>
          <t>2026-03-14 13:58</t>
        </is>
      </c>
    </row>
    <row r="297">
      <c r="A297" t="inlineStr">
        <is>
          <t>LinkedIn</t>
        </is>
      </c>
      <c r="B297" t="inlineStr">
        <is>
          <t>DEVELOPER L4</t>
        </is>
      </c>
      <c r="C297" t="inlineStr">
        <is>
          <t>Wipro</t>
        </is>
      </c>
      <c r="D297" t="inlineStr">
        <is>
          <t>Hyderabad, Telangana, India</t>
        </is>
      </c>
      <c r="E297" t="inlineStr">
        <is>
          <t>Hyderabad</t>
        </is>
      </c>
      <c r="F297" t="inlineStr">
        <is>
          <t>Entry</t>
        </is>
      </c>
      <c r="G297" t="inlineStr">
        <is>
          <t>5 hours ago</t>
        </is>
      </c>
      <c r="H297">
        <f>HYPERLINK("https://in.linkedin.com/jobs/view/developer-l4-at-wipro-4385823285", "Open Job")</f>
        <v/>
      </c>
      <c r="I297" t="inlineStr">
        <is>
          <t>2026-03-14 13:58</t>
        </is>
      </c>
    </row>
    <row r="298">
      <c r="A298" t="inlineStr">
        <is>
          <t>LinkedIn</t>
        </is>
      </c>
      <c r="B298" t="inlineStr">
        <is>
          <t>Software Engineer</t>
        </is>
      </c>
      <c r="C298" t="inlineStr">
        <is>
          <t>Wells Fargo</t>
        </is>
      </c>
      <c r="D298" t="inlineStr">
        <is>
          <t>Serilingampalli, Telangana, India</t>
        </is>
      </c>
      <c r="E298" t="inlineStr">
        <is>
          <t>Hyderabad</t>
        </is>
      </c>
      <c r="F298" t="inlineStr">
        <is>
          <t>Associate</t>
        </is>
      </c>
      <c r="G298" t="inlineStr">
        <is>
          <t>11 hours ago</t>
        </is>
      </c>
      <c r="H298">
        <f>HYPERLINK("https://in.linkedin.com/jobs/view/software-engineer-at-wells-fargo-4385561167", "Open Job")</f>
        <v/>
      </c>
      <c r="I298" t="inlineStr">
        <is>
          <t>2026-03-14 13:58</t>
        </is>
      </c>
    </row>
    <row r="299">
      <c r="A299" t="inlineStr">
        <is>
          <t>LinkedIn</t>
        </is>
      </c>
      <c r="B299" t="inlineStr">
        <is>
          <t>Senior Software Engineer - Java</t>
        </is>
      </c>
      <c r="C299" t="inlineStr">
        <is>
          <t>AbhiBus</t>
        </is>
      </c>
      <c r="D299" t="inlineStr">
        <is>
          <t>Hyderabad, Telangana, India</t>
        </is>
      </c>
      <c r="E299" t="inlineStr">
        <is>
          <t>Hyderabad</t>
        </is>
      </c>
      <c r="F299" t="inlineStr">
        <is>
          <t>Associate</t>
        </is>
      </c>
      <c r="G299" t="inlineStr">
        <is>
          <t>20 hours ago</t>
        </is>
      </c>
      <c r="H299">
        <f>HYPERLINK("https://in.linkedin.com/jobs/view/senior-software-engineer-java-at-abhibus-4385350265", "Open Job")</f>
        <v/>
      </c>
      <c r="I299" t="inlineStr">
        <is>
          <t>2026-03-14 13:58</t>
        </is>
      </c>
    </row>
    <row r="300">
      <c r="A300" t="inlineStr">
        <is>
          <t>LinkedIn</t>
        </is>
      </c>
      <c r="B300" t="inlineStr">
        <is>
          <t>Specialist - Product Implementation</t>
        </is>
      </c>
      <c r="C300" t="inlineStr">
        <is>
          <t>greytHR</t>
        </is>
      </c>
      <c r="D300" t="inlineStr">
        <is>
          <t>Hyderabad, Telangana, India</t>
        </is>
      </c>
      <c r="E300" t="inlineStr">
        <is>
          <t>Hyderabad</t>
        </is>
      </c>
      <c r="F300" t="inlineStr">
        <is>
          <t>Associate</t>
        </is>
      </c>
      <c r="G300" t="inlineStr">
        <is>
          <t>23 hours ago</t>
        </is>
      </c>
      <c r="H300">
        <f>HYPERLINK("https://in.linkedin.com/jobs/view/specialist-product-implementation-at-greythr-4371414773", "Open Job")</f>
        <v/>
      </c>
      <c r="I300" t="inlineStr">
        <is>
          <t>2026-03-14 13:58</t>
        </is>
      </c>
    </row>
    <row r="301">
      <c r="A301" t="inlineStr">
        <is>
          <t>LinkedIn</t>
        </is>
      </c>
      <c r="B301" t="inlineStr">
        <is>
          <t>Information Technology Operations Analyst</t>
        </is>
      </c>
      <c r="C301" t="inlineStr">
        <is>
          <t>Redwood Software</t>
        </is>
      </c>
      <c r="D301" t="inlineStr">
        <is>
          <t>Hyderabad, Telangana, India</t>
        </is>
      </c>
      <c r="E301" t="inlineStr">
        <is>
          <t>Hyderabad</t>
        </is>
      </c>
      <c r="F301" t="inlineStr">
        <is>
          <t>Associate</t>
        </is>
      </c>
      <c r="G301" t="inlineStr">
        <is>
          <t>17 hours ago</t>
        </is>
      </c>
      <c r="H301">
        <f>HYPERLINK("https://in.linkedin.com/jobs/view/information-technology-operations-analyst-at-redwood-software-4385371867", "Open Job")</f>
        <v/>
      </c>
      <c r="I301" t="inlineStr">
        <is>
          <t>2026-03-14 13:58</t>
        </is>
      </c>
    </row>
    <row r="302">
      <c r="A302" t="inlineStr">
        <is>
          <t>LinkedIn</t>
        </is>
      </c>
      <c r="B302" t="inlineStr">
        <is>
          <t>Accountant 3, Fund Accounting</t>
        </is>
      </c>
      <c r="C302" t="inlineStr">
        <is>
          <t>IQ-EQ</t>
        </is>
      </c>
      <c r="D302" t="inlineStr">
        <is>
          <t>Hyderabad, Telangana, India</t>
        </is>
      </c>
      <c r="E302" t="inlineStr">
        <is>
          <t>Hyderabad</t>
        </is>
      </c>
      <c r="F302" t="inlineStr">
        <is>
          <t>Associate</t>
        </is>
      </c>
      <c r="G302" t="inlineStr">
        <is>
          <t>12 hours ago</t>
        </is>
      </c>
      <c r="H302">
        <f>HYPERLINK("https://in.linkedin.com/jobs/view/accountant-3-fund-accounting-at-iq-eq-4385542314", "Open Job")</f>
        <v/>
      </c>
      <c r="I302" t="inlineStr">
        <is>
          <t>2026-03-14 13:58</t>
        </is>
      </c>
    </row>
    <row r="303">
      <c r="A303" t="inlineStr">
        <is>
          <t>LinkedIn</t>
        </is>
      </c>
      <c r="B303" t="inlineStr">
        <is>
          <t>Financial Crimes Specialist</t>
        </is>
      </c>
      <c r="C303" t="inlineStr">
        <is>
          <t>Wells Fargo</t>
        </is>
      </c>
      <c r="D303" t="inlineStr">
        <is>
          <t>Serilingampalli, Telangana, India</t>
        </is>
      </c>
      <c r="E303" t="inlineStr">
        <is>
          <t>Hyderabad</t>
        </is>
      </c>
      <c r="F303" t="inlineStr">
        <is>
          <t>Associate</t>
        </is>
      </c>
      <c r="G303" t="inlineStr">
        <is>
          <t>11 hours ago</t>
        </is>
      </c>
      <c r="H303">
        <f>HYPERLINK("https://in.linkedin.com/jobs/view/financial-crimes-specialist-at-wells-fargo-4385552510", "Open Job")</f>
        <v/>
      </c>
      <c r="I303" t="inlineStr">
        <is>
          <t>2026-03-14 13:58</t>
        </is>
      </c>
    </row>
    <row r="304">
      <c r="A304" t="inlineStr">
        <is>
          <t>LinkedIn</t>
        </is>
      </c>
      <c r="B304" t="inlineStr">
        <is>
          <t>Software Engineering Senior Analyst - HIH - Evernorth</t>
        </is>
      </c>
      <c r="C304" t="inlineStr">
        <is>
          <t>Evernorth Health Services</t>
        </is>
      </c>
      <c r="D304" t="inlineStr">
        <is>
          <t>Hyderabad, Telangana, India</t>
        </is>
      </c>
      <c r="E304" t="inlineStr">
        <is>
          <t>Hyderabad</t>
        </is>
      </c>
      <c r="F304" t="inlineStr">
        <is>
          <t>Associate</t>
        </is>
      </c>
      <c r="G304" t="inlineStr">
        <is>
          <t>23 hours ago</t>
        </is>
      </c>
      <c r="H304">
        <f>HYPERLINK("https://in.linkedin.com/jobs/view/software-engineering-senior-analyst-hih-evernorth-at-evernorth-health-services-4383101129", "Open Job")</f>
        <v/>
      </c>
      <c r="I304" t="inlineStr">
        <is>
          <t>2026-03-14 13:58</t>
        </is>
      </c>
    </row>
    <row r="305">
      <c r="A305" t="inlineStr">
        <is>
          <t>LinkedIn</t>
        </is>
      </c>
      <c r="B305" t="inlineStr">
        <is>
          <t>Inside Sales Specialist</t>
        </is>
      </c>
      <c r="C305" t="inlineStr">
        <is>
          <t>BeeHyv Software</t>
        </is>
      </c>
      <c r="D305" t="inlineStr">
        <is>
          <t>Hyderabad, Telangana, India</t>
        </is>
      </c>
      <c r="E305" t="inlineStr">
        <is>
          <t>Hyderabad</t>
        </is>
      </c>
      <c r="F305" t="inlineStr">
        <is>
          <t>Associate</t>
        </is>
      </c>
      <c r="G305" t="inlineStr">
        <is>
          <t>16 hours ago</t>
        </is>
      </c>
      <c r="H305">
        <f>HYPERLINK("https://in.linkedin.com/jobs/view/inside-sales-specialist-at-beehyv-software-4385374882", "Open Job")</f>
        <v/>
      </c>
      <c r="I305" t="inlineStr">
        <is>
          <t>2026-03-14 13:58</t>
        </is>
      </c>
    </row>
    <row r="306">
      <c r="A306" t="inlineStr">
        <is>
          <t>LinkedIn</t>
        </is>
      </c>
      <c r="B306" t="inlineStr">
        <is>
          <t>Financial Crimes Specialist</t>
        </is>
      </c>
      <c r="C306" t="inlineStr">
        <is>
          <t>Wells Fargo</t>
        </is>
      </c>
      <c r="D306" t="inlineStr">
        <is>
          <t>Serilingampalli, Telangana, India</t>
        </is>
      </c>
      <c r="E306" t="inlineStr">
        <is>
          <t>Hyderabad</t>
        </is>
      </c>
      <c r="F306" t="inlineStr">
        <is>
          <t>Associate</t>
        </is>
      </c>
      <c r="G306" t="inlineStr">
        <is>
          <t>11 hours ago</t>
        </is>
      </c>
      <c r="H306">
        <f>HYPERLINK("https://in.linkedin.com/jobs/view/financial-crimes-specialist-at-wells-fargo-4385565058", "Open Job")</f>
        <v/>
      </c>
      <c r="I306" t="inlineStr">
        <is>
          <t>2026-03-14 13:58</t>
        </is>
      </c>
    </row>
    <row r="307">
      <c r="A307" t="inlineStr">
        <is>
          <t>LinkedIn</t>
        </is>
      </c>
      <c r="B307" t="inlineStr">
        <is>
          <t>Data Engineer</t>
        </is>
      </c>
      <c r="C307" t="inlineStr">
        <is>
          <t>SkySpecs</t>
        </is>
      </c>
      <c r="D307" t="inlineStr">
        <is>
          <t>Hyderabad, Telangana, India</t>
        </is>
      </c>
      <c r="E307" t="inlineStr">
        <is>
          <t>Hyderabad</t>
        </is>
      </c>
      <c r="F307" t="inlineStr">
        <is>
          <t>Associate</t>
        </is>
      </c>
      <c r="G307" t="inlineStr">
        <is>
          <t>19 hours ago</t>
        </is>
      </c>
      <c r="H307">
        <f>HYPERLINK("https://in.linkedin.com/jobs/view/data-engineer-at-skyspecs-4385370097", "Open Job")</f>
        <v/>
      </c>
      <c r="I307" t="inlineStr">
        <is>
          <t>2026-03-14 13:58</t>
        </is>
      </c>
    </row>
    <row r="308">
      <c r="A308" t="inlineStr">
        <is>
          <t>LinkedIn</t>
        </is>
      </c>
      <c r="B308" t="inlineStr">
        <is>
          <t>Analytics Consultant</t>
        </is>
      </c>
      <c r="C308" t="inlineStr">
        <is>
          <t>Wells Fargo</t>
        </is>
      </c>
      <c r="D308" t="inlineStr">
        <is>
          <t>Serilingampalli, Telangana, India</t>
        </is>
      </c>
      <c r="E308" t="inlineStr">
        <is>
          <t>Hyderabad</t>
        </is>
      </c>
      <c r="F308" t="inlineStr">
        <is>
          <t>Associate</t>
        </is>
      </c>
      <c r="G308" t="inlineStr">
        <is>
          <t>11 hours ago</t>
        </is>
      </c>
      <c r="H308">
        <f>HYPERLINK("https://in.linkedin.com/jobs/view/analytics-consultant-at-wells-fargo-4385553487", "Open Job")</f>
        <v/>
      </c>
      <c r="I308" t="inlineStr">
        <is>
          <t>2026-03-14 13:58</t>
        </is>
      </c>
    </row>
    <row r="309">
      <c r="A309" t="inlineStr">
        <is>
          <t>LinkedIn</t>
        </is>
      </c>
      <c r="B309" t="inlineStr">
        <is>
          <t>Senior Engineering Consultant - Cloud Infrastructure &amp; 5G Core Engineer</t>
        </is>
      </c>
      <c r="C309" t="inlineStr">
        <is>
          <t>Verizon</t>
        </is>
      </c>
      <c r="D309" t="inlineStr">
        <is>
          <t>Serilingampalli, Telangana, India</t>
        </is>
      </c>
      <c r="E309" t="inlineStr">
        <is>
          <t>Hyderabad</t>
        </is>
      </c>
      <c r="F309" t="inlineStr">
        <is>
          <t>Associate</t>
        </is>
      </c>
      <c r="G309" t="inlineStr">
        <is>
          <t>17 hours ago</t>
        </is>
      </c>
      <c r="H309">
        <f>HYPERLINK("https://in.linkedin.com/jobs/view/senior-engineering-consultant-cloud-infrastructure-5g-core-engineer-at-verizon-4385356403", "Open Job")</f>
        <v/>
      </c>
      <c r="I309" t="inlineStr">
        <is>
          <t>2026-03-14 13:58</t>
        </is>
      </c>
    </row>
    <row r="310">
      <c r="A310" t="inlineStr">
        <is>
          <t>LinkedIn</t>
        </is>
      </c>
      <c r="B310" t="inlineStr">
        <is>
          <t>Senior Engineering Consultant-Cloud Infrastructure</t>
        </is>
      </c>
      <c r="C310" t="inlineStr">
        <is>
          <t>Verizon</t>
        </is>
      </c>
      <c r="D310" t="inlineStr">
        <is>
          <t>Serilingampalli, Telangana, India</t>
        </is>
      </c>
      <c r="E310" t="inlineStr">
        <is>
          <t>Hyderabad</t>
        </is>
      </c>
      <c r="F310" t="inlineStr">
        <is>
          <t>Associate</t>
        </is>
      </c>
      <c r="G310" t="inlineStr">
        <is>
          <t>17 hours ago</t>
        </is>
      </c>
      <c r="H310">
        <f>HYPERLINK("https://in.linkedin.com/jobs/view/senior-engineering-consultant-cloud-infrastructure-at-verizon-4385354517", "Open Job")</f>
        <v/>
      </c>
      <c r="I310" t="inlineStr">
        <is>
          <t>2026-03-14 13:58</t>
        </is>
      </c>
    </row>
    <row r="311">
      <c r="A311" t="inlineStr">
        <is>
          <t>LinkedIn</t>
        </is>
      </c>
      <c r="B311" t="inlineStr">
        <is>
          <t>Digital Assets Software Engineer- Full-stack</t>
        </is>
      </c>
      <c r="C311" t="inlineStr">
        <is>
          <t>Wells Fargo</t>
        </is>
      </c>
      <c r="D311" t="inlineStr">
        <is>
          <t>Serilingampalli, Telangana, India</t>
        </is>
      </c>
      <c r="E311" t="inlineStr">
        <is>
          <t>Hyderabad</t>
        </is>
      </c>
      <c r="F311" t="inlineStr">
        <is>
          <t>Associate</t>
        </is>
      </c>
      <c r="G311" t="inlineStr">
        <is>
          <t>11 hours ago</t>
        </is>
      </c>
      <c r="H311">
        <f>HYPERLINK("https://in.linkedin.com/jobs/view/digital-assets-software-engineer-full-stack-at-wells-fargo-4385553456", "Open Job")</f>
        <v/>
      </c>
      <c r="I311" t="inlineStr">
        <is>
          <t>2026-03-14 13:58</t>
        </is>
      </c>
    </row>
    <row r="312">
      <c r="A312" t="inlineStr">
        <is>
          <t>LinkedIn</t>
        </is>
      </c>
      <c r="B312" t="inlineStr">
        <is>
          <t>Senior Accountant, Fund Accounting</t>
        </is>
      </c>
      <c r="C312" t="inlineStr">
        <is>
          <t>IQ-EQ</t>
        </is>
      </c>
      <c r="D312" t="inlineStr">
        <is>
          <t>Hyderabad, Telangana, India</t>
        </is>
      </c>
      <c r="E312" t="inlineStr">
        <is>
          <t>Hyderabad</t>
        </is>
      </c>
      <c r="F312" t="inlineStr">
        <is>
          <t>Associate</t>
        </is>
      </c>
      <c r="G312" t="inlineStr">
        <is>
          <t>18 hours ago</t>
        </is>
      </c>
      <c r="H312">
        <f>HYPERLINK("https://in.linkedin.com/jobs/view/senior-accountant-fund-accounting-at-iq-eq-4385372173", "Open Job")</f>
        <v/>
      </c>
      <c r="I312" t="inlineStr">
        <is>
          <t>2026-03-14 13:58</t>
        </is>
      </c>
    </row>
    <row r="313">
      <c r="A313" t="inlineStr">
        <is>
          <t>LinkedIn</t>
        </is>
      </c>
      <c r="B313" t="inlineStr">
        <is>
          <t>Digital Assets Software Engineer- Full-stack</t>
        </is>
      </c>
      <c r="C313" t="inlineStr">
        <is>
          <t>Wells Fargo</t>
        </is>
      </c>
      <c r="D313" t="inlineStr">
        <is>
          <t>Serilingampalli, Telangana, India</t>
        </is>
      </c>
      <c r="E313" t="inlineStr">
        <is>
          <t>Hyderabad</t>
        </is>
      </c>
      <c r="F313" t="inlineStr">
        <is>
          <t>Associate</t>
        </is>
      </c>
      <c r="G313" t="inlineStr">
        <is>
          <t>11 hours ago</t>
        </is>
      </c>
      <c r="H313">
        <f>HYPERLINK("https://in.linkedin.com/jobs/view/digital-assets-software-engineer-full-stack-at-wells-fargo-4385546670", "Open Job")</f>
        <v/>
      </c>
      <c r="I313" t="inlineStr">
        <is>
          <t>2026-03-14 13:58</t>
        </is>
      </c>
    </row>
    <row r="314">
      <c r="A314" t="inlineStr">
        <is>
          <t>LinkedIn</t>
        </is>
      </c>
      <c r="B314" t="inlineStr">
        <is>
          <t>Assistant Manager - SOC and Data Administrator</t>
        </is>
      </c>
      <c r="C314" t="inlineStr">
        <is>
          <t>JLL</t>
        </is>
      </c>
      <c r="D314" t="inlineStr">
        <is>
          <t>Hyderabad, Telangana, India</t>
        </is>
      </c>
      <c r="E314" t="inlineStr">
        <is>
          <t>Hyderabad</t>
        </is>
      </c>
      <c r="F314" t="inlineStr">
        <is>
          <t>Associate</t>
        </is>
      </c>
      <c r="G314" t="inlineStr">
        <is>
          <t>8 hours ago</t>
        </is>
      </c>
      <c r="H314">
        <f>HYPERLINK("https://in.linkedin.com/jobs/view/assistant-manager-soc-and-data-administrator-at-jll-4385577443", "Open Job")</f>
        <v/>
      </c>
      <c r="I314" t="inlineStr">
        <is>
          <t>2026-03-14 13:58</t>
        </is>
      </c>
    </row>
    <row r="315">
      <c r="A315" t="inlineStr">
        <is>
          <t>LinkedIn</t>
        </is>
      </c>
      <c r="B315" t="inlineStr">
        <is>
          <t>Manager, Client Implementation</t>
        </is>
      </c>
      <c r="C315" t="inlineStr">
        <is>
          <t>IQ-EQ</t>
        </is>
      </c>
      <c r="D315" t="inlineStr">
        <is>
          <t>Hyderabad, Telangana, India</t>
        </is>
      </c>
      <c r="E315" t="inlineStr">
        <is>
          <t>Hyderabad</t>
        </is>
      </c>
      <c r="F315" t="inlineStr">
        <is>
          <t>Associate</t>
        </is>
      </c>
      <c r="G315" t="inlineStr">
        <is>
          <t>12 hours ago</t>
        </is>
      </c>
      <c r="H315">
        <f>HYPERLINK("https://in.linkedin.com/jobs/view/manager-client-implementation-at-iq-eq-4380986595", "Open Job")</f>
        <v/>
      </c>
      <c r="I315" t="inlineStr">
        <is>
          <t>2026-03-14 13:58</t>
        </is>
      </c>
    </row>
    <row r="316">
      <c r="A316" t="inlineStr">
        <is>
          <t>LinkedIn</t>
        </is>
      </c>
      <c r="B316" t="inlineStr">
        <is>
          <t>Senior Accountant, Fund Accounting</t>
        </is>
      </c>
      <c r="C316" t="inlineStr">
        <is>
          <t>IQ-EQ</t>
        </is>
      </c>
      <c r="D316" t="inlineStr">
        <is>
          <t>Hyderabad, Telangana, India</t>
        </is>
      </c>
      <c r="E316" t="inlineStr">
        <is>
          <t>Hyderabad</t>
        </is>
      </c>
      <c r="F316" t="inlineStr">
        <is>
          <t>Associate</t>
        </is>
      </c>
      <c r="G316" t="inlineStr">
        <is>
          <t>12 hours ago</t>
        </is>
      </c>
      <c r="H316">
        <f>HYPERLINK("https://in.linkedin.com/jobs/view/senior-accountant-fund-accounting-at-iq-eq-4385538479", "Open Job")</f>
        <v/>
      </c>
      <c r="I316" t="inlineStr">
        <is>
          <t>2026-03-14 13:58</t>
        </is>
      </c>
    </row>
    <row r="317">
      <c r="A317" t="inlineStr">
        <is>
          <t>LinkedIn</t>
        </is>
      </c>
      <c r="B317" t="inlineStr">
        <is>
          <t>Internal Audit - AWM Engineering Audit - Associate - Hyderabad</t>
        </is>
      </c>
      <c r="C317" t="inlineStr">
        <is>
          <t>Goldman Sachs</t>
        </is>
      </c>
      <c r="D317" t="inlineStr">
        <is>
          <t>Hyderabad, Telangana, India</t>
        </is>
      </c>
      <c r="E317" t="inlineStr">
        <is>
          <t>Hyderabad</t>
        </is>
      </c>
      <c r="F317" t="inlineStr">
        <is>
          <t>Associate</t>
        </is>
      </c>
      <c r="G317" t="inlineStr">
        <is>
          <t>22 hours ago</t>
        </is>
      </c>
      <c r="H317">
        <f>HYPERLINK("https://in.linkedin.com/jobs/view/internal-audit-awm-engineering-audit-associate-hyderabad-at-goldman-sachs-4384231847", "Open Job")</f>
        <v/>
      </c>
      <c r="I317" t="inlineStr">
        <is>
          <t>2026-03-14 13:58</t>
        </is>
      </c>
    </row>
    <row r="318">
      <c r="A318" t="inlineStr">
        <is>
          <t>LinkedIn</t>
        </is>
      </c>
      <c r="B318" t="inlineStr">
        <is>
          <t>Software Engineer, Developer Experience</t>
        </is>
      </c>
      <c r="C318" t="inlineStr">
        <is>
          <t>Notion</t>
        </is>
      </c>
      <c r="D318" t="inlineStr">
        <is>
          <t>Hyderabad, Telangana, India</t>
        </is>
      </c>
      <c r="E318" t="inlineStr">
        <is>
          <t>Hyderabad</t>
        </is>
      </c>
      <c r="F318" t="inlineStr">
        <is>
          <t>Mid</t>
        </is>
      </c>
      <c r="G318" t="inlineStr">
        <is>
          <t>19 hours ago</t>
        </is>
      </c>
      <c r="H318">
        <f>HYPERLINK("https://in.linkedin.com/jobs/view/software-engineer-developer-experience-at-notion-4375460799", "Open Job")</f>
        <v/>
      </c>
      <c r="I318" t="inlineStr">
        <is>
          <t>2026-03-14 13:58</t>
        </is>
      </c>
    </row>
    <row r="319">
      <c r="A319" t="inlineStr">
        <is>
          <t>LinkedIn</t>
        </is>
      </c>
      <c r="B319" t="inlineStr">
        <is>
          <t>Analytics Engineer, India</t>
        </is>
      </c>
      <c r="C319" t="inlineStr">
        <is>
          <t>DoorDash</t>
        </is>
      </c>
      <c r="D319" t="inlineStr">
        <is>
          <t>Hyderabad, Telangana, India</t>
        </is>
      </c>
      <c r="E319" t="inlineStr">
        <is>
          <t>Hyderabad</t>
        </is>
      </c>
      <c r="F319" t="inlineStr">
        <is>
          <t>Mid</t>
        </is>
      </c>
      <c r="G319" t="inlineStr">
        <is>
          <t>23 hours ago</t>
        </is>
      </c>
      <c r="H319">
        <f>HYPERLINK("https://in.linkedin.com/jobs/view/analytics-engineer-india-at-doordash-4258376845", "Open Job")</f>
        <v/>
      </c>
      <c r="I319" t="inlineStr">
        <is>
          <t>2026-03-14 13:58</t>
        </is>
      </c>
    </row>
    <row r="320">
      <c r="A320" t="inlineStr">
        <is>
          <t>LinkedIn</t>
        </is>
      </c>
      <c r="B320" t="inlineStr">
        <is>
          <t>Senior Software Engineer - Java</t>
        </is>
      </c>
      <c r="C320" t="inlineStr">
        <is>
          <t>ixigo</t>
        </is>
      </c>
      <c r="D320" t="inlineStr">
        <is>
          <t>Hyderabad, Telangana, India</t>
        </is>
      </c>
      <c r="E320" t="inlineStr">
        <is>
          <t>Hyderabad</t>
        </is>
      </c>
      <c r="F320" t="inlineStr">
        <is>
          <t>Mid</t>
        </is>
      </c>
      <c r="G320" t="inlineStr">
        <is>
          <t>21 hours ago</t>
        </is>
      </c>
      <c r="H320">
        <f>HYPERLINK("https://in.linkedin.com/jobs/view/senior-software-engineer-java-at-ixigo-4385327857", "Open Job")</f>
        <v/>
      </c>
      <c r="I320" t="inlineStr">
        <is>
          <t>2026-03-14 13:58</t>
        </is>
      </c>
    </row>
    <row r="321">
      <c r="A321" t="inlineStr">
        <is>
          <t>LinkedIn</t>
        </is>
      </c>
      <c r="B321" t="inlineStr">
        <is>
          <t>Software Development Engineer</t>
        </is>
      </c>
      <c r="C321" t="inlineStr">
        <is>
          <t>WaferWire Cloud Technologies</t>
        </is>
      </c>
      <c r="D321" t="inlineStr">
        <is>
          <t>Hyderabad, Telangana, India</t>
        </is>
      </c>
      <c r="E321" t="inlineStr">
        <is>
          <t>Hyderabad</t>
        </is>
      </c>
      <c r="F321" t="inlineStr">
        <is>
          <t>Mid</t>
        </is>
      </c>
      <c r="G321" t="inlineStr">
        <is>
          <t>20 hours ago</t>
        </is>
      </c>
      <c r="H321">
        <f>HYPERLINK("https://in.linkedin.com/jobs/view/software-development-engineer-at-waferwire-cloud-technologies-4384261213", "Open Job")</f>
        <v/>
      </c>
      <c r="I321" t="inlineStr">
        <is>
          <t>2026-03-14 13:58</t>
        </is>
      </c>
    </row>
    <row r="322">
      <c r="A322" t="inlineStr">
        <is>
          <t>LinkedIn</t>
        </is>
      </c>
      <c r="B322" t="inlineStr">
        <is>
          <t>IT Recruiter</t>
        </is>
      </c>
      <c r="C322" t="inlineStr">
        <is>
          <t>ValueLabs</t>
        </is>
      </c>
      <c r="D322" t="inlineStr">
        <is>
          <t>Hyderabad, Telangana, India</t>
        </is>
      </c>
      <c r="E322" t="inlineStr">
        <is>
          <t>Hyderabad</t>
        </is>
      </c>
      <c r="F322" t="inlineStr">
        <is>
          <t>Mid</t>
        </is>
      </c>
      <c r="G322" t="inlineStr">
        <is>
          <t>22 hours ago</t>
        </is>
      </c>
      <c r="H322">
        <f>HYPERLINK("https://in.linkedin.com/jobs/view/it-recruiter-at-valuelabs-4384242505", "Open Job")</f>
        <v/>
      </c>
      <c r="I322" t="inlineStr">
        <is>
          <t>2026-03-14 13:58</t>
        </is>
      </c>
    </row>
    <row r="323">
      <c r="A323" t="inlineStr">
        <is>
          <t>LinkedIn</t>
        </is>
      </c>
      <c r="B323" t="inlineStr">
        <is>
          <t>Software Engineer</t>
        </is>
      </c>
      <c r="C323" t="inlineStr">
        <is>
          <t>CyberArk</t>
        </is>
      </c>
      <c r="D323" t="inlineStr">
        <is>
          <t>Hyderabad, Telangana, India</t>
        </is>
      </c>
      <c r="E323" t="inlineStr">
        <is>
          <t>Hyderabad</t>
        </is>
      </c>
      <c r="F323" t="inlineStr">
        <is>
          <t>Mid</t>
        </is>
      </c>
      <c r="G323" t="inlineStr">
        <is>
          <t>22 hours ago</t>
        </is>
      </c>
      <c r="H323">
        <f>HYPERLINK("https://in.linkedin.com/jobs/view/software-engineer-at-cyberark-4324586179", "Open Job")</f>
        <v/>
      </c>
      <c r="I323" t="inlineStr">
        <is>
          <t>2026-03-14 13:58</t>
        </is>
      </c>
    </row>
    <row r="324">
      <c r="A324" t="inlineStr">
        <is>
          <t>LinkedIn</t>
        </is>
      </c>
      <c r="B324" t="inlineStr">
        <is>
          <t>Software Engineer II (Offshore)</t>
        </is>
      </c>
      <c r="C324" t="inlineStr">
        <is>
          <t>isolved</t>
        </is>
      </c>
      <c r="D324" t="inlineStr">
        <is>
          <t>Hyderabad, Telangana, India</t>
        </is>
      </c>
      <c r="E324" t="inlineStr">
        <is>
          <t>Hyderabad</t>
        </is>
      </c>
      <c r="F324" t="inlineStr">
        <is>
          <t>Mid</t>
        </is>
      </c>
      <c r="G324" t="inlineStr">
        <is>
          <t>18 hours ago</t>
        </is>
      </c>
      <c r="H324">
        <f>HYPERLINK("https://in.linkedin.com/jobs/view/software-engineer-ii-offshore-at-isolved-4383120604", "Open Job")</f>
        <v/>
      </c>
      <c r="I324" t="inlineStr">
        <is>
          <t>2026-03-14 13:58</t>
        </is>
      </c>
    </row>
    <row r="325">
      <c r="A325" t="inlineStr">
        <is>
          <t>LinkedIn</t>
        </is>
      </c>
      <c r="B325" t="inlineStr">
        <is>
          <t>Data Engineer II [T500-24346]</t>
        </is>
      </c>
      <c r="C325" t="inlineStr">
        <is>
          <t>McDonald's Global Office in India</t>
        </is>
      </c>
      <c r="D325" t="inlineStr">
        <is>
          <t>Hyderabad, Telangana, India</t>
        </is>
      </c>
      <c r="E325" t="inlineStr">
        <is>
          <t>Hyderabad</t>
        </is>
      </c>
      <c r="F325" t="inlineStr">
        <is>
          <t>Mid</t>
        </is>
      </c>
      <c r="G325" t="inlineStr">
        <is>
          <t>22 hours ago</t>
        </is>
      </c>
      <c r="H325">
        <f>HYPERLINK("https://in.linkedin.com/jobs/view/data-engineer-ii-t500-24346-at-mcdonald-s-global-office-in-india-4385335511", "Open Job")</f>
        <v/>
      </c>
      <c r="I325" t="inlineStr">
        <is>
          <t>2026-03-14 13:58</t>
        </is>
      </c>
    </row>
    <row r="326">
      <c r="A326" t="inlineStr">
        <is>
          <t>LinkedIn</t>
        </is>
      </c>
      <c r="B326" t="inlineStr">
        <is>
          <t>Data Scientist Associate</t>
        </is>
      </c>
      <c r="C326" t="inlineStr">
        <is>
          <t>hackajob</t>
        </is>
      </c>
      <c r="D326" t="inlineStr">
        <is>
          <t>Hyderabad, Telangana, India</t>
        </is>
      </c>
      <c r="E326" t="inlineStr">
        <is>
          <t>Hyderabad</t>
        </is>
      </c>
      <c r="F326" t="inlineStr">
        <is>
          <t>Mid</t>
        </is>
      </c>
      <c r="G326" t="inlineStr">
        <is>
          <t>12 hours ago</t>
        </is>
      </c>
      <c r="H326">
        <f>HYPERLINK("https://in.linkedin.com/jobs/view/data-scientist-associate-at-hackajob-4384297070", "Open Job")</f>
        <v/>
      </c>
      <c r="I326" t="inlineStr">
        <is>
          <t>2026-03-14 13:58</t>
        </is>
      </c>
    </row>
    <row r="327">
      <c r="A327" t="inlineStr">
        <is>
          <t>LinkedIn</t>
        </is>
      </c>
      <c r="B327" t="inlineStr">
        <is>
          <t>Java Developer</t>
        </is>
      </c>
      <c r="C327" t="inlineStr">
        <is>
          <t>Conduent</t>
        </is>
      </c>
      <c r="D327" t="inlineStr">
        <is>
          <t>Hyderabad, Telangana, India</t>
        </is>
      </c>
      <c r="E327" t="inlineStr">
        <is>
          <t>Hyderabad</t>
        </is>
      </c>
      <c r="F327" t="inlineStr">
        <is>
          <t>Mid</t>
        </is>
      </c>
      <c r="G327" t="inlineStr">
        <is>
          <t>13 hours ago</t>
        </is>
      </c>
      <c r="H327">
        <f>HYPERLINK("https://in.linkedin.com/jobs/view/java-developer-at-conduent-4375652019", "Open Job")</f>
        <v/>
      </c>
      <c r="I327" t="inlineStr">
        <is>
          <t>2026-03-14 13:58</t>
        </is>
      </c>
    </row>
    <row r="328">
      <c r="A328" t="inlineStr">
        <is>
          <t>LinkedIn</t>
        </is>
      </c>
      <c r="B328" t="inlineStr">
        <is>
          <t>Data Engineer II [T500-24348]</t>
        </is>
      </c>
      <c r="C328" t="inlineStr">
        <is>
          <t>McDonald's Global Office in India</t>
        </is>
      </c>
      <c r="D328" t="inlineStr">
        <is>
          <t>Hyderabad, Telangana, India</t>
        </is>
      </c>
      <c r="E328" t="inlineStr">
        <is>
          <t>Hyderabad</t>
        </is>
      </c>
      <c r="F328" t="inlineStr">
        <is>
          <t>Mid</t>
        </is>
      </c>
      <c r="G328" t="inlineStr">
        <is>
          <t>22 hours ago</t>
        </is>
      </c>
      <c r="H328">
        <f>HYPERLINK("https://in.linkedin.com/jobs/view/data-engineer-ii-t500-24348-at-mcdonald-s-global-office-in-india-4385328644", "Open Job")</f>
        <v/>
      </c>
      <c r="I328" t="inlineStr">
        <is>
          <t>2026-03-14 13:58</t>
        </is>
      </c>
    </row>
    <row r="329">
      <c r="A329" t="inlineStr">
        <is>
          <t>LinkedIn</t>
        </is>
      </c>
      <c r="B329" t="inlineStr">
        <is>
          <t>Java Full Stack Developer</t>
        </is>
      </c>
      <c r="C329" t="inlineStr">
        <is>
          <t>L&amp;T Technology Services</t>
        </is>
      </c>
      <c r="D329" t="inlineStr">
        <is>
          <t>Hyderabad, Telangana, India</t>
        </is>
      </c>
      <c r="E329" t="inlineStr">
        <is>
          <t>Hyderabad</t>
        </is>
      </c>
      <c r="F329" t="inlineStr">
        <is>
          <t>Mid</t>
        </is>
      </c>
      <c r="G329" t="inlineStr">
        <is>
          <t>1 day ago</t>
        </is>
      </c>
      <c r="H329">
        <f>HYPERLINK("https://in.linkedin.com/jobs/view/java-full-stack-developer-at-l-t-technology-services-4384245101", "Open Job")</f>
        <v/>
      </c>
      <c r="I329" t="inlineStr">
        <is>
          <t>2026-03-14 13:58</t>
        </is>
      </c>
    </row>
    <row r="330">
      <c r="A330" t="inlineStr">
        <is>
          <t>LinkedIn</t>
        </is>
      </c>
      <c r="B330" t="inlineStr">
        <is>
          <t>Remote Full-Stack Developer</t>
        </is>
      </c>
      <c r="C330" t="inlineStr">
        <is>
          <t>Turing</t>
        </is>
      </c>
      <c r="D330" t="inlineStr">
        <is>
          <t>Hyderabad, Telangana, India</t>
        </is>
      </c>
      <c r="E330" t="inlineStr">
        <is>
          <t>Hyderabad</t>
        </is>
      </c>
      <c r="F330" t="inlineStr">
        <is>
          <t>Mid</t>
        </is>
      </c>
      <c r="G330" t="inlineStr">
        <is>
          <t>21 hours ago</t>
        </is>
      </c>
      <c r="H330">
        <f>HYPERLINK("https://in.linkedin.com/jobs/view/remote-full-stack-developer-at-turing-4358616282", "Open Job")</f>
        <v/>
      </c>
      <c r="I330" t="inlineStr">
        <is>
          <t>2026-03-14 13:58</t>
        </is>
      </c>
    </row>
    <row r="331">
      <c r="A331" t="inlineStr">
        <is>
          <t>LinkedIn</t>
        </is>
      </c>
      <c r="B331" t="inlineStr">
        <is>
          <t>Remote Full-Stack Developer</t>
        </is>
      </c>
      <c r="C331" t="inlineStr">
        <is>
          <t>Turing</t>
        </is>
      </c>
      <c r="D331" t="inlineStr">
        <is>
          <t>Hyderabad, Telangana, India</t>
        </is>
      </c>
      <c r="E331" t="inlineStr">
        <is>
          <t>Hyderabad</t>
        </is>
      </c>
      <c r="F331" t="inlineStr">
        <is>
          <t>Mid</t>
        </is>
      </c>
      <c r="G331" t="inlineStr">
        <is>
          <t>21 hours ago</t>
        </is>
      </c>
      <c r="H331">
        <f>HYPERLINK("https://in.linkedin.com/jobs/view/remote-full-stack-developer-at-turing-4358458679", "Open Job")</f>
        <v/>
      </c>
      <c r="I331" t="inlineStr">
        <is>
          <t>2026-03-14 13:58</t>
        </is>
      </c>
    </row>
    <row r="332">
      <c r="A332" t="inlineStr">
        <is>
          <t>LinkedIn</t>
        </is>
      </c>
      <c r="B332" t="inlineStr">
        <is>
          <t>Logistics - Sales &amp; Operations Executive (Hyderabad)</t>
        </is>
      </c>
      <c r="C332" t="inlineStr">
        <is>
          <t>PBL Transport Corporation Private Limited</t>
        </is>
      </c>
      <c r="D332" t="inlineStr">
        <is>
          <t>Hyderabad, Telangana, India</t>
        </is>
      </c>
      <c r="E332" t="inlineStr">
        <is>
          <t>Hyderabad</t>
        </is>
      </c>
      <c r="F332" t="inlineStr">
        <is>
          <t>Mid</t>
        </is>
      </c>
      <c r="G332" t="inlineStr">
        <is>
          <t>13 hours ago</t>
        </is>
      </c>
      <c r="H332">
        <f>HYPERLINK("https://in.linkedin.com/jobs/view/logistics-sales-operations-executive-hyderabad-at-pbl-transport-corporation-private-limited-4384637840", "Open Job")</f>
        <v/>
      </c>
      <c r="I332" t="inlineStr">
        <is>
          <t>2026-03-14 13:58</t>
        </is>
      </c>
    </row>
    <row r="333">
      <c r="A333" t="inlineStr">
        <is>
          <t>LinkedIn</t>
        </is>
      </c>
      <c r="B333" t="inlineStr">
        <is>
          <t>SDE II</t>
        </is>
      </c>
      <c r="C333" t="inlineStr">
        <is>
          <t>Amazon</t>
        </is>
      </c>
      <c r="D333" t="inlineStr">
        <is>
          <t>Hyderabad, Telangana, India</t>
        </is>
      </c>
      <c r="E333" t="inlineStr">
        <is>
          <t>Hyderabad</t>
        </is>
      </c>
      <c r="F333" t="inlineStr">
        <is>
          <t>Mid</t>
        </is>
      </c>
      <c r="G333" t="inlineStr">
        <is>
          <t>18 hours ago</t>
        </is>
      </c>
      <c r="H333">
        <f>HYPERLINK("https://in.linkedin.com/jobs/view/sde-ii-at-amazon-4344433823", "Open Job")</f>
        <v/>
      </c>
      <c r="I333" t="inlineStr">
        <is>
          <t>2026-03-14 13:58</t>
        </is>
      </c>
    </row>
    <row r="334">
      <c r="A334" t="inlineStr">
        <is>
          <t>LinkedIn</t>
        </is>
      </c>
      <c r="B334" t="inlineStr">
        <is>
          <t>Remote Full-Stack Developer</t>
        </is>
      </c>
      <c r="C334" t="inlineStr">
        <is>
          <t>Turing</t>
        </is>
      </c>
      <c r="D334" t="inlineStr">
        <is>
          <t>Hyderabad, Telangana, India</t>
        </is>
      </c>
      <c r="E334" t="inlineStr">
        <is>
          <t>Hyderabad</t>
        </is>
      </c>
      <c r="F334" t="inlineStr">
        <is>
          <t>Mid</t>
        </is>
      </c>
      <c r="G334" t="inlineStr">
        <is>
          <t>21 hours ago</t>
        </is>
      </c>
      <c r="H334">
        <f>HYPERLINK("https://in.linkedin.com/jobs/view/remote-full-stack-developer-at-turing-4358754097", "Open Job")</f>
        <v/>
      </c>
      <c r="I334" t="inlineStr">
        <is>
          <t>2026-03-14 13:58</t>
        </is>
      </c>
    </row>
    <row r="335">
      <c r="A335" t="inlineStr">
        <is>
          <t>LinkedIn</t>
        </is>
      </c>
      <c r="B335" t="inlineStr">
        <is>
          <t>Remote Full-Stack Developer</t>
        </is>
      </c>
      <c r="C335" t="inlineStr">
        <is>
          <t>Turing</t>
        </is>
      </c>
      <c r="D335" t="inlineStr">
        <is>
          <t>Hyderabad, Telangana, India</t>
        </is>
      </c>
      <c r="E335" t="inlineStr">
        <is>
          <t>Hyderabad</t>
        </is>
      </c>
      <c r="F335" t="inlineStr">
        <is>
          <t>Mid</t>
        </is>
      </c>
      <c r="G335" t="inlineStr">
        <is>
          <t>21 hours ago</t>
        </is>
      </c>
      <c r="H335">
        <f>HYPERLINK("https://in.linkedin.com/jobs/view/remote-full-stack-developer-at-turing-4358566421", "Open Job")</f>
        <v/>
      </c>
      <c r="I335" t="inlineStr">
        <is>
          <t>2026-03-14 13:58</t>
        </is>
      </c>
    </row>
    <row r="336">
      <c r="A336" t="inlineStr">
        <is>
          <t>LinkedIn</t>
        </is>
      </c>
      <c r="B336" t="inlineStr">
        <is>
          <t>Remote Full-Stack Developer</t>
        </is>
      </c>
      <c r="C336" t="inlineStr">
        <is>
          <t>Turing</t>
        </is>
      </c>
      <c r="D336" t="inlineStr">
        <is>
          <t>Hyderabad, Telangana, India</t>
        </is>
      </c>
      <c r="E336" t="inlineStr">
        <is>
          <t>Hyderabad</t>
        </is>
      </c>
      <c r="F336" t="inlineStr">
        <is>
          <t>Mid</t>
        </is>
      </c>
      <c r="G336" t="inlineStr">
        <is>
          <t>21 hours ago</t>
        </is>
      </c>
      <c r="H336">
        <f>HYPERLINK("https://in.linkedin.com/jobs/view/remote-full-stack-developer-at-turing-4358566419", "Open Job")</f>
        <v/>
      </c>
      <c r="I336" t="inlineStr">
        <is>
          <t>2026-03-14 13:58</t>
        </is>
      </c>
    </row>
    <row r="337">
      <c r="A337" t="inlineStr">
        <is>
          <t>LinkedIn</t>
        </is>
      </c>
      <c r="B337" t="inlineStr">
        <is>
          <t>Remote Full-Stack Developer</t>
        </is>
      </c>
      <c r="C337" t="inlineStr">
        <is>
          <t>Turing</t>
        </is>
      </c>
      <c r="D337" t="inlineStr">
        <is>
          <t>Hyderabad, Telangana, India</t>
        </is>
      </c>
      <c r="E337" t="inlineStr">
        <is>
          <t>Hyderabad</t>
        </is>
      </c>
      <c r="F337" t="inlineStr">
        <is>
          <t>Mid</t>
        </is>
      </c>
      <c r="G337" t="inlineStr">
        <is>
          <t>21 hours ago</t>
        </is>
      </c>
      <c r="H337">
        <f>HYPERLINK("https://in.linkedin.com/jobs/view/remote-full-stack-developer-at-turing-4358984002", "Open Job")</f>
        <v/>
      </c>
      <c r="I337" t="inlineStr">
        <is>
          <t>2026-03-14 13:58</t>
        </is>
      </c>
    </row>
    <row r="338">
      <c r="A338" t="inlineStr">
        <is>
          <t>LinkedIn</t>
        </is>
      </c>
      <c r="B338" t="inlineStr">
        <is>
          <t>Software Engineer</t>
        </is>
      </c>
      <c r="C338" t="inlineStr">
        <is>
          <t>Microsoft</t>
        </is>
      </c>
      <c r="D338" t="inlineStr">
        <is>
          <t>Hyderabad, Telangana, India</t>
        </is>
      </c>
      <c r="E338" t="inlineStr">
        <is>
          <t>Hyderabad</t>
        </is>
      </c>
      <c r="F338" t="inlineStr">
        <is>
          <t>Seniority level Not Applicable</t>
        </is>
      </c>
      <c r="G338" t="inlineStr">
        <is>
          <t>14 hours ago</t>
        </is>
      </c>
      <c r="H338">
        <f>HYPERLINK("https://in.linkedin.com/jobs/view/software-engineer-at-microsoft-4385515677", "Open Job")</f>
        <v/>
      </c>
      <c r="I338" t="inlineStr">
        <is>
          <t>2026-03-14 13:58</t>
        </is>
      </c>
    </row>
    <row r="339">
      <c r="A339" t="inlineStr">
        <is>
          <t>LinkedIn</t>
        </is>
      </c>
      <c r="B339" t="inlineStr">
        <is>
          <t>Software Engineer</t>
        </is>
      </c>
      <c r="C339" t="inlineStr">
        <is>
          <t>Microsoft</t>
        </is>
      </c>
      <c r="D339" t="inlineStr">
        <is>
          <t>Hyderabad, Telangana, India</t>
        </is>
      </c>
      <c r="E339" t="inlineStr">
        <is>
          <t>Hyderabad</t>
        </is>
      </c>
      <c r="F339" t="inlineStr">
        <is>
          <t>Seniority level Not Applicable</t>
        </is>
      </c>
      <c r="G339" t="inlineStr">
        <is>
          <t>14 hours ago</t>
        </is>
      </c>
      <c r="H339">
        <f>HYPERLINK("https://in.linkedin.com/jobs/view/software-engineer-at-microsoft-4385509865", "Open Job")</f>
        <v/>
      </c>
      <c r="I339" t="inlineStr">
        <is>
          <t>2026-03-14 13:58</t>
        </is>
      </c>
    </row>
    <row r="340">
      <c r="A340" t="inlineStr">
        <is>
          <t>LinkedIn</t>
        </is>
      </c>
      <c r="B340" t="inlineStr">
        <is>
          <t>Software Engineer II</t>
        </is>
      </c>
      <c r="C340" t="inlineStr">
        <is>
          <t>Microsoft</t>
        </is>
      </c>
      <c r="D340" t="inlineStr">
        <is>
          <t>Hyderabad, Telangana, India</t>
        </is>
      </c>
      <c r="E340" t="inlineStr">
        <is>
          <t>Hyderabad</t>
        </is>
      </c>
      <c r="F340" t="inlineStr">
        <is>
          <t>Seniority level Not Applicable</t>
        </is>
      </c>
      <c r="G340" t="inlineStr">
        <is>
          <t>15 hours ago</t>
        </is>
      </c>
      <c r="H340">
        <f>HYPERLINK("https://in.linkedin.com/jobs/view/software-engineer-ii-at-microsoft-4359344378", "Open Job")</f>
        <v/>
      </c>
      <c r="I340" t="inlineStr">
        <is>
          <t>2026-03-14 13:58</t>
        </is>
      </c>
    </row>
    <row r="341">
      <c r="A341" t="inlineStr">
        <is>
          <t>LinkedIn</t>
        </is>
      </c>
      <c r="B341" t="inlineStr">
        <is>
          <t>Software Engineer II</t>
        </is>
      </c>
      <c r="C341" t="inlineStr">
        <is>
          <t>Microsoft</t>
        </is>
      </c>
      <c r="D341" t="inlineStr">
        <is>
          <t>Hyderabad, Telangana, India</t>
        </is>
      </c>
      <c r="E341" t="inlineStr">
        <is>
          <t>Hyderabad</t>
        </is>
      </c>
      <c r="F341" t="inlineStr">
        <is>
          <t>Seniority level Not Applicable</t>
        </is>
      </c>
      <c r="G341" t="inlineStr">
        <is>
          <t>18 hours ago</t>
        </is>
      </c>
      <c r="H341">
        <f>HYPERLINK("https://in.linkedin.com/jobs/view/software-engineer-ii-at-microsoft-4385344982", "Open Job")</f>
        <v/>
      </c>
      <c r="I341" t="inlineStr">
        <is>
          <t>2026-03-14 13:58</t>
        </is>
      </c>
    </row>
    <row r="342">
      <c r="A342" t="inlineStr">
        <is>
          <t>LinkedIn</t>
        </is>
      </c>
      <c r="B342" t="inlineStr">
        <is>
          <t>Junior Software Engineer</t>
        </is>
      </c>
      <c r="C342" t="inlineStr">
        <is>
          <t>MetLife</t>
        </is>
      </c>
      <c r="D342" t="inlineStr">
        <is>
          <t>Hyderabad, Telangana, India</t>
        </is>
      </c>
      <c r="E342" t="inlineStr">
        <is>
          <t>Hyderabad</t>
        </is>
      </c>
      <c r="F342" t="inlineStr">
        <is>
          <t>Seniority level Not Applicable</t>
        </is>
      </c>
      <c r="G342" t="inlineStr">
        <is>
          <t>11 hours ago</t>
        </is>
      </c>
      <c r="H342">
        <f>HYPERLINK("https://in.linkedin.com/jobs/view/junior-software-engineer-at-metlife-4384298071", "Open Job")</f>
        <v/>
      </c>
      <c r="I342" t="inlineStr">
        <is>
          <t>2026-03-14 13:58</t>
        </is>
      </c>
    </row>
    <row r="343">
      <c r="A343" t="inlineStr">
        <is>
          <t>LinkedIn</t>
        </is>
      </c>
      <c r="B343" t="inlineStr">
        <is>
          <t>Software Engineer II</t>
        </is>
      </c>
      <c r="C343" t="inlineStr">
        <is>
          <t>Microsoft</t>
        </is>
      </c>
      <c r="D343" t="inlineStr">
        <is>
          <t>Hyderabad, Telangana, India</t>
        </is>
      </c>
      <c r="E343" t="inlineStr">
        <is>
          <t>Hyderabad</t>
        </is>
      </c>
      <c r="F343" t="inlineStr">
        <is>
          <t>Seniority level Not Applicable</t>
        </is>
      </c>
      <c r="G343" t="inlineStr">
        <is>
          <t>15 hours ago</t>
        </is>
      </c>
      <c r="H343">
        <f>HYPERLINK("https://in.linkedin.com/jobs/view/software-engineer-ii-at-microsoft-4375679721", "Open Job")</f>
        <v/>
      </c>
      <c r="I343" t="inlineStr">
        <is>
          <t>2026-03-14 13:58</t>
        </is>
      </c>
    </row>
    <row r="344">
      <c r="A344" t="inlineStr">
        <is>
          <t>LinkedIn</t>
        </is>
      </c>
      <c r="B344" t="inlineStr">
        <is>
          <t>Junior Software Engineer</t>
        </is>
      </c>
      <c r="C344" t="inlineStr">
        <is>
          <t>MetLife</t>
        </is>
      </c>
      <c r="D344" t="inlineStr">
        <is>
          <t>Hyderabad, Telangana, India</t>
        </is>
      </c>
      <c r="E344" t="inlineStr">
        <is>
          <t>Hyderabad</t>
        </is>
      </c>
      <c r="F344" t="inlineStr">
        <is>
          <t>Seniority level Not Applicable</t>
        </is>
      </c>
      <c r="G344" t="inlineStr">
        <is>
          <t>11 hours ago</t>
        </is>
      </c>
      <c r="H344">
        <f>HYPERLINK("https://in.linkedin.com/jobs/view/junior-software-engineer-at-metlife-4384276845", "Open Job")</f>
        <v/>
      </c>
      <c r="I344" t="inlineStr">
        <is>
          <t>2026-03-14 13:58</t>
        </is>
      </c>
    </row>
    <row r="345">
      <c r="A345" t="inlineStr">
        <is>
          <t>LinkedIn</t>
        </is>
      </c>
      <c r="B345" t="inlineStr">
        <is>
          <t>Junior Software Engineer</t>
        </is>
      </c>
      <c r="C345" t="inlineStr">
        <is>
          <t>MetLife</t>
        </is>
      </c>
      <c r="D345" t="inlineStr">
        <is>
          <t>Hyderabad, Telangana, India</t>
        </is>
      </c>
      <c r="E345" t="inlineStr">
        <is>
          <t>Hyderabad</t>
        </is>
      </c>
      <c r="F345" t="inlineStr">
        <is>
          <t>Seniority level Not Applicable</t>
        </is>
      </c>
      <c r="G345" t="inlineStr">
        <is>
          <t>11 hours ago</t>
        </is>
      </c>
      <c r="H345">
        <f>HYPERLINK("https://in.linkedin.com/jobs/view/junior-software-engineer-at-metlife-4384293320", "Open Job")</f>
        <v/>
      </c>
      <c r="I345" t="inlineStr">
        <is>
          <t>2026-03-14 13:58</t>
        </is>
      </c>
    </row>
    <row r="346">
      <c r="A346" t="inlineStr">
        <is>
          <t>LinkedIn</t>
        </is>
      </c>
      <c r="B346" t="inlineStr">
        <is>
          <t>Junior Software Engineer</t>
        </is>
      </c>
      <c r="C346" t="inlineStr">
        <is>
          <t>MetLife</t>
        </is>
      </c>
      <c r="D346" t="inlineStr">
        <is>
          <t>Hyderabad, Telangana, India</t>
        </is>
      </c>
      <c r="E346" t="inlineStr">
        <is>
          <t>Hyderabad</t>
        </is>
      </c>
      <c r="F346" t="inlineStr">
        <is>
          <t>Seniority level Not Applicable</t>
        </is>
      </c>
      <c r="G346" t="inlineStr">
        <is>
          <t>11 hours ago</t>
        </is>
      </c>
      <c r="H346">
        <f>HYPERLINK("https://in.linkedin.com/jobs/view/junior-software-engineer-at-metlife-4384278748", "Open Job")</f>
        <v/>
      </c>
      <c r="I346" t="inlineStr">
        <is>
          <t>2026-03-14 13:58</t>
        </is>
      </c>
    </row>
    <row r="347">
      <c r="A347" t="inlineStr">
        <is>
          <t>LinkedIn</t>
        </is>
      </c>
      <c r="B347" t="inlineStr">
        <is>
          <t>Junior Software Engineer</t>
        </is>
      </c>
      <c r="C347" t="inlineStr">
        <is>
          <t>MetLife</t>
        </is>
      </c>
      <c r="D347" t="inlineStr">
        <is>
          <t>Hyderabad, Telangana, India</t>
        </is>
      </c>
      <c r="E347" t="inlineStr">
        <is>
          <t>Hyderabad</t>
        </is>
      </c>
      <c r="F347" t="inlineStr">
        <is>
          <t>Seniority level Not Applicable</t>
        </is>
      </c>
      <c r="G347" t="inlineStr">
        <is>
          <t>11 hours ago</t>
        </is>
      </c>
      <c r="H347">
        <f>HYPERLINK("https://in.linkedin.com/jobs/view/junior-software-engineer-at-metlife-4384277742", "Open Job")</f>
        <v/>
      </c>
      <c r="I347" t="inlineStr">
        <is>
          <t>2026-03-14 13:58</t>
        </is>
      </c>
    </row>
    <row r="348">
      <c r="A348" t="inlineStr">
        <is>
          <t>LinkedIn</t>
        </is>
      </c>
      <c r="B348" t="inlineStr">
        <is>
          <t>Junior Software Engineer</t>
        </is>
      </c>
      <c r="C348" t="inlineStr">
        <is>
          <t>MetLife</t>
        </is>
      </c>
      <c r="D348" t="inlineStr">
        <is>
          <t>Hyderabad, Telangana, India</t>
        </is>
      </c>
      <c r="E348" t="inlineStr">
        <is>
          <t>Hyderabad</t>
        </is>
      </c>
      <c r="F348" t="inlineStr">
        <is>
          <t>Seniority level Not Applicable</t>
        </is>
      </c>
      <c r="G348" t="inlineStr">
        <is>
          <t>11 hours ago</t>
        </is>
      </c>
      <c r="H348">
        <f>HYPERLINK("https://in.linkedin.com/jobs/view/junior-software-engineer-at-metlife-4384295212", "Open Job")</f>
        <v/>
      </c>
      <c r="I348" t="inlineStr">
        <is>
          <t>2026-03-14 13:58</t>
        </is>
      </c>
    </row>
    <row r="349">
      <c r="A349" t="inlineStr">
        <is>
          <t>LinkedIn</t>
        </is>
      </c>
      <c r="B349" t="inlineStr">
        <is>
          <t>Junior Software Engineer</t>
        </is>
      </c>
      <c r="C349" t="inlineStr">
        <is>
          <t>MetLife</t>
        </is>
      </c>
      <c r="D349" t="inlineStr">
        <is>
          <t>Hyderabad, Telangana, India</t>
        </is>
      </c>
      <c r="E349" t="inlineStr">
        <is>
          <t>Hyderabad</t>
        </is>
      </c>
      <c r="F349" t="inlineStr">
        <is>
          <t>Seniority level Not Applicable</t>
        </is>
      </c>
      <c r="G349" t="inlineStr">
        <is>
          <t>11 hours ago</t>
        </is>
      </c>
      <c r="H349">
        <f>HYPERLINK("https://in.linkedin.com/jobs/view/junior-software-engineer-at-metlife-4384280719", "Open Job")</f>
        <v/>
      </c>
      <c r="I349" t="inlineStr">
        <is>
          <t>2026-03-14 13:58</t>
        </is>
      </c>
    </row>
    <row r="350">
      <c r="A350" t="inlineStr">
        <is>
          <t>LinkedIn</t>
        </is>
      </c>
      <c r="B350" t="inlineStr">
        <is>
          <t>Junior Software Engineer</t>
        </is>
      </c>
      <c r="C350" t="inlineStr">
        <is>
          <t>MetLife</t>
        </is>
      </c>
      <c r="D350" t="inlineStr">
        <is>
          <t>Hyderabad, Telangana, India</t>
        </is>
      </c>
      <c r="E350" t="inlineStr">
        <is>
          <t>Hyderabad</t>
        </is>
      </c>
      <c r="F350" t="inlineStr">
        <is>
          <t>Seniority level Not Applicable</t>
        </is>
      </c>
      <c r="G350" t="inlineStr">
        <is>
          <t>11 hours ago</t>
        </is>
      </c>
      <c r="H350">
        <f>HYPERLINK("https://in.linkedin.com/jobs/view/junior-software-engineer-at-metlife-4384280712", "Open Job")</f>
        <v/>
      </c>
      <c r="I350" t="inlineStr">
        <is>
          <t>2026-03-14 13:58</t>
        </is>
      </c>
    </row>
    <row r="351">
      <c r="A351" t="inlineStr">
        <is>
          <t>LinkedIn</t>
        </is>
      </c>
      <c r="B351" t="inlineStr">
        <is>
          <t>Junior Software Engineer</t>
        </is>
      </c>
      <c r="C351" t="inlineStr">
        <is>
          <t>MetLife</t>
        </is>
      </c>
      <c r="D351" t="inlineStr">
        <is>
          <t>Hyderabad, Telangana, India</t>
        </is>
      </c>
      <c r="E351" t="inlineStr">
        <is>
          <t>Hyderabad</t>
        </is>
      </c>
      <c r="F351" t="inlineStr">
        <is>
          <t>Seniority level Not Applicable</t>
        </is>
      </c>
      <c r="G351" t="inlineStr">
        <is>
          <t>11 hours ago</t>
        </is>
      </c>
      <c r="H351">
        <f>HYPERLINK("https://in.linkedin.com/jobs/view/junior-software-engineer-at-metlife-4384289338", "Open Job")</f>
        <v/>
      </c>
      <c r="I351" t="inlineStr">
        <is>
          <t>2026-03-14 13:58</t>
        </is>
      </c>
    </row>
    <row r="352">
      <c r="A352" t="inlineStr">
        <is>
          <t>LinkedIn</t>
        </is>
      </c>
      <c r="B352" t="inlineStr">
        <is>
          <t>Junior Software Engineer</t>
        </is>
      </c>
      <c r="C352" t="inlineStr">
        <is>
          <t>MetLife</t>
        </is>
      </c>
      <c r="D352" t="inlineStr">
        <is>
          <t>Hyderabad, Telangana, India</t>
        </is>
      </c>
      <c r="E352" t="inlineStr">
        <is>
          <t>Hyderabad</t>
        </is>
      </c>
      <c r="F352" t="inlineStr">
        <is>
          <t>Seniority level Not Applicable</t>
        </is>
      </c>
      <c r="G352" t="inlineStr">
        <is>
          <t>11 hours ago</t>
        </is>
      </c>
      <c r="H352">
        <f>HYPERLINK("https://in.linkedin.com/jobs/view/junior-software-engineer-at-metlife-4384281725", "Open Job")</f>
        <v/>
      </c>
      <c r="I352" t="inlineStr">
        <is>
          <t>2026-03-14 13:58</t>
        </is>
      </c>
    </row>
    <row r="353">
      <c r="A353" t="inlineStr">
        <is>
          <t>LinkedIn</t>
        </is>
      </c>
      <c r="B353" t="inlineStr">
        <is>
          <t>Junior Software Engineer</t>
        </is>
      </c>
      <c r="C353" t="inlineStr">
        <is>
          <t>MetLife</t>
        </is>
      </c>
      <c r="D353" t="inlineStr">
        <is>
          <t>Hyderabad, Telangana, India</t>
        </is>
      </c>
      <c r="E353" t="inlineStr">
        <is>
          <t>Hyderabad</t>
        </is>
      </c>
      <c r="F353" t="inlineStr">
        <is>
          <t>Seniority level Not Applicable</t>
        </is>
      </c>
      <c r="G353" t="inlineStr">
        <is>
          <t>11 hours ago</t>
        </is>
      </c>
      <c r="H353">
        <f>HYPERLINK("https://in.linkedin.com/jobs/view/junior-software-engineer-at-metlife-4384277732", "Open Job")</f>
        <v/>
      </c>
      <c r="I353" t="inlineStr">
        <is>
          <t>2026-03-14 13:58</t>
        </is>
      </c>
    </row>
    <row r="354">
      <c r="A354" t="inlineStr">
        <is>
          <t>LinkedIn</t>
        </is>
      </c>
      <c r="B354" t="inlineStr">
        <is>
          <t>Software Engineer</t>
        </is>
      </c>
      <c r="C354" t="inlineStr">
        <is>
          <t>Microsoft</t>
        </is>
      </c>
      <c r="D354" t="inlineStr">
        <is>
          <t>Hyderabad, Telangana, India</t>
        </is>
      </c>
      <c r="E354" t="inlineStr">
        <is>
          <t>Hyderabad</t>
        </is>
      </c>
      <c r="F354" t="inlineStr">
        <is>
          <t>Seniority level Not Applicable</t>
        </is>
      </c>
      <c r="G354" t="inlineStr">
        <is>
          <t>18 hours ago</t>
        </is>
      </c>
      <c r="H354">
        <f>HYPERLINK("https://in.linkedin.com/jobs/view/software-engineer-at-microsoft-4346206476", "Open Job")</f>
        <v/>
      </c>
      <c r="I354" t="inlineStr">
        <is>
          <t>2026-03-14 13:58</t>
        </is>
      </c>
    </row>
    <row r="355">
      <c r="A355" t="inlineStr">
        <is>
          <t>LinkedIn</t>
        </is>
      </c>
      <c r="B355" t="inlineStr">
        <is>
          <t>Junior Software Engineer</t>
        </is>
      </c>
      <c r="C355" t="inlineStr">
        <is>
          <t>MetLife</t>
        </is>
      </c>
      <c r="D355" t="inlineStr">
        <is>
          <t>Hyderabad, Telangana, India</t>
        </is>
      </c>
      <c r="E355" t="inlineStr">
        <is>
          <t>Hyderabad</t>
        </is>
      </c>
      <c r="F355" t="inlineStr">
        <is>
          <t>Seniority level Not Applicable</t>
        </is>
      </c>
      <c r="G355" t="inlineStr">
        <is>
          <t>12 hours ago</t>
        </is>
      </c>
      <c r="H355">
        <f>HYPERLINK("https://in.linkedin.com/jobs/view/junior-software-engineer-at-metlife-4384282768", "Open Job")</f>
        <v/>
      </c>
      <c r="I355" t="inlineStr">
        <is>
          <t>2026-03-14 13:58</t>
        </is>
      </c>
    </row>
    <row r="356">
      <c r="A356" t="inlineStr">
        <is>
          <t>LinkedIn</t>
        </is>
      </c>
      <c r="B356" t="inlineStr">
        <is>
          <t>Junior Software Engineer</t>
        </is>
      </c>
      <c r="C356" t="inlineStr">
        <is>
          <t>MetLife</t>
        </is>
      </c>
      <c r="D356" t="inlineStr">
        <is>
          <t>Hyderabad, Telangana, India</t>
        </is>
      </c>
      <c r="E356" t="inlineStr">
        <is>
          <t>Hyderabad</t>
        </is>
      </c>
      <c r="F356" t="inlineStr">
        <is>
          <t>Seniority level Not Applicable</t>
        </is>
      </c>
      <c r="G356" t="inlineStr">
        <is>
          <t>12 hours ago</t>
        </is>
      </c>
      <c r="H356">
        <f>HYPERLINK("https://in.linkedin.com/jobs/view/junior-software-engineer-at-metlife-4384287532", "Open Job")</f>
        <v/>
      </c>
      <c r="I356" t="inlineStr">
        <is>
          <t>2026-03-14 13:58</t>
        </is>
      </c>
    </row>
    <row r="357">
      <c r="A357" t="inlineStr">
        <is>
          <t>LinkedIn</t>
        </is>
      </c>
      <c r="B357" t="inlineStr">
        <is>
          <t>Junior Software Engineer</t>
        </is>
      </c>
      <c r="C357" t="inlineStr">
        <is>
          <t>MetLife</t>
        </is>
      </c>
      <c r="D357" t="inlineStr">
        <is>
          <t>Hyderabad, Telangana, India</t>
        </is>
      </c>
      <c r="E357" t="inlineStr">
        <is>
          <t>Hyderabad</t>
        </is>
      </c>
      <c r="F357" t="inlineStr">
        <is>
          <t>Seniority level Not Applicable</t>
        </is>
      </c>
      <c r="G357" t="inlineStr">
        <is>
          <t>12 hours ago</t>
        </is>
      </c>
      <c r="H357">
        <f>HYPERLINK("https://in.linkedin.com/jobs/view/junior-software-engineer-at-metlife-4384290368", "Open Job")</f>
        <v/>
      </c>
      <c r="I357" t="inlineStr">
        <is>
          <t>2026-03-14 13:58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2026-03-14T08:28:52Z</dcterms:created>
  <dcterms:modified xsi:type="dcterms:W3CDTF">2026-03-14T08:28:52Z</dcterms:modified>
</cp:coreProperties>
</file>